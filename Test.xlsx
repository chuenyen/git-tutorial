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en\Dropbox\Herbalife\"/>
    </mc:Choice>
  </mc:AlternateContent>
  <xr:revisionPtr revIDLastSave="0" documentId="13_ncr:1_{156C6807-5C2A-428D-B92D-708506DD1DCB}" xr6:coauthVersionLast="47" xr6:coauthVersionMax="47" xr10:uidLastSave="{00000000-0000-0000-0000-000000000000}"/>
  <bookViews>
    <workbookView xWindow="-108" yWindow="-108" windowWidth="23256" windowHeight="12456" activeTab="1" xr2:uid="{558EC086-89D9-44E3-909C-6060BB40BF0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D19" i="2"/>
  <c r="C19" i="2"/>
  <c r="E17" i="2"/>
  <c r="D17" i="2"/>
  <c r="C17" i="2"/>
  <c r="E15" i="2"/>
  <c r="D15" i="2"/>
  <c r="C15" i="2"/>
  <c r="E18" i="2"/>
  <c r="D18" i="2"/>
  <c r="E16" i="2"/>
  <c r="D16" i="2"/>
  <c r="E14" i="2"/>
  <c r="D14" i="2"/>
  <c r="C11" i="2"/>
  <c r="C16" i="2" s="1"/>
  <c r="O19" i="1"/>
  <c r="N19" i="1"/>
  <c r="M19" i="1"/>
  <c r="O18" i="1"/>
  <c r="N18" i="1"/>
  <c r="M18" i="1"/>
  <c r="O13" i="1"/>
  <c r="N13" i="1"/>
  <c r="O12" i="1"/>
  <c r="N12" i="1"/>
  <c r="M13" i="1"/>
  <c r="M12" i="1"/>
  <c r="M11" i="1"/>
  <c r="M17" i="1" s="1"/>
  <c r="N11" i="1"/>
  <c r="N17" i="1"/>
  <c r="O17" i="1"/>
  <c r="O11" i="1"/>
  <c r="E3" i="1"/>
  <c r="E4" i="1"/>
  <c r="E5" i="1"/>
  <c r="E6" i="1"/>
  <c r="E7" i="1"/>
  <c r="E12" i="1"/>
  <c r="J8" i="1"/>
  <c r="J3" i="1"/>
  <c r="J4" i="1"/>
  <c r="J5" i="1"/>
  <c r="J6" i="1"/>
  <c r="J7" i="1"/>
  <c r="J2" i="1"/>
  <c r="H31" i="1"/>
  <c r="G31" i="1"/>
  <c r="I31" i="1" s="1"/>
  <c r="C31" i="1"/>
  <c r="B31" i="1"/>
  <c r="C13" i="1"/>
  <c r="C12" i="1"/>
  <c r="C11" i="1"/>
  <c r="B13" i="1"/>
  <c r="J13" i="1" s="1"/>
  <c r="B11" i="1"/>
  <c r="B12" i="1"/>
  <c r="D12" i="1" s="1"/>
  <c r="I8" i="1"/>
  <c r="I7" i="1"/>
  <c r="I6" i="1"/>
  <c r="I5" i="1"/>
  <c r="I4" i="1"/>
  <c r="I3" i="1"/>
  <c r="I2" i="1"/>
  <c r="D3" i="1"/>
  <c r="D4" i="1"/>
  <c r="D5" i="1"/>
  <c r="D6" i="1"/>
  <c r="D7" i="1"/>
  <c r="D8" i="1"/>
  <c r="E8" i="1" s="1"/>
  <c r="D9" i="1"/>
  <c r="E9" i="1" s="1"/>
  <c r="D10" i="1"/>
  <c r="E10" i="1" s="1"/>
  <c r="D2" i="1"/>
  <c r="E2" i="1" s="1"/>
  <c r="M9" i="1"/>
  <c r="H9" i="1"/>
  <c r="H13" i="1" s="1"/>
  <c r="G9" i="1"/>
  <c r="G13" i="1" s="1"/>
  <c r="I13" i="1" s="1"/>
  <c r="C14" i="2" l="1"/>
  <c r="C18" i="2"/>
  <c r="J9" i="1"/>
  <c r="D31" i="1"/>
  <c r="E31" i="1" s="1"/>
  <c r="I9" i="1"/>
  <c r="D13" i="1"/>
  <c r="E13" i="1" s="1"/>
  <c r="D11" i="1"/>
  <c r="E11" i="1" s="1"/>
  <c r="H12" i="1"/>
  <c r="J12" i="1" s="1"/>
  <c r="G11" i="1"/>
  <c r="H11" i="1"/>
  <c r="J11" i="1" s="1"/>
  <c r="G12" i="1"/>
  <c r="I12" i="1" l="1"/>
  <c r="I11" i="1"/>
</calcChain>
</file>

<file path=xl/sharedStrings.xml><?xml version="1.0" encoding="utf-8"?>
<sst xmlns="http://schemas.openxmlformats.org/spreadsheetml/2006/main" count="95" uniqueCount="67">
  <si>
    <t>Aloe</t>
  </si>
  <si>
    <t>F1</t>
  </si>
  <si>
    <t>F3</t>
  </si>
  <si>
    <t>Fibre</t>
  </si>
  <si>
    <t>2L Bottle</t>
  </si>
  <si>
    <t>Retail (S$)</t>
  </si>
  <si>
    <t>Shaker + Spoon</t>
  </si>
  <si>
    <t>Basic ($389)</t>
  </si>
  <si>
    <t>Advance ($459)</t>
  </si>
  <si>
    <t>Ultimate ($549)</t>
  </si>
  <si>
    <t>Shaker Cup (x5)</t>
  </si>
  <si>
    <t>Spoon (x10)</t>
  </si>
  <si>
    <t>Retail (RM)</t>
  </si>
  <si>
    <t>Tea (50g)</t>
  </si>
  <si>
    <t>Ultimate (RM1218)</t>
  </si>
  <si>
    <t>Advance (RM1018)</t>
  </si>
  <si>
    <t>Basic (RM848)</t>
  </si>
  <si>
    <t>Retail (Rupee)</t>
  </si>
  <si>
    <t>Afresh Energy Drink Mix</t>
  </si>
  <si>
    <t>F3 Personalized Protein (200g)</t>
  </si>
  <si>
    <t>Active Fibre Complex</t>
  </si>
  <si>
    <t>Healthy Breakfast set</t>
  </si>
  <si>
    <t>Herbal Concentrate Tea</t>
  </si>
  <si>
    <t>handy tote carrier* and Healthy Breakfast booklet</t>
  </si>
  <si>
    <t>Exchange rate</t>
  </si>
  <si>
    <t>Disc (RM)</t>
  </si>
  <si>
    <t>Disc (S$)</t>
  </si>
  <si>
    <t>Disc (Rupee)</t>
  </si>
  <si>
    <t>Donation</t>
  </si>
  <si>
    <t>Profit (S$)</t>
  </si>
  <si>
    <t>Profit (RM)</t>
  </si>
  <si>
    <t>Start now Pack 1</t>
  </si>
  <si>
    <t>Tea Mix</t>
  </si>
  <si>
    <t>Measuring spoon</t>
  </si>
  <si>
    <t>Non woven bag</t>
  </si>
  <si>
    <t>Shaker</t>
  </si>
  <si>
    <t>Total</t>
  </si>
  <si>
    <t>Profit (Buy MY Sell SG) (RM)</t>
  </si>
  <si>
    <t>Profit (MY)</t>
  </si>
  <si>
    <t>MRP</t>
  </si>
  <si>
    <t>F3 Personalized Protein (400g)</t>
  </si>
  <si>
    <t>F1 (750g)</t>
  </si>
  <si>
    <t>GST (2.5% x 2)</t>
  </si>
  <si>
    <t>Delivery</t>
  </si>
  <si>
    <t>Total PJS Basic</t>
  </si>
  <si>
    <t>Total PJS Advance</t>
  </si>
  <si>
    <t>Total PJS Ultimate</t>
  </si>
  <si>
    <t>50% Disc (Rupee)</t>
  </si>
  <si>
    <t>Shaker Cup</t>
  </si>
  <si>
    <t>F1 (750g) Mango, Vanilla, Rose Kheer, Kulfi</t>
  </si>
  <si>
    <t>F1 (500g) Mango, Vanilla, Chocolate, Rose Kheer, Kulfi, Orange Cream, Strawberry, Banana Caramel, PAAN</t>
  </si>
  <si>
    <t>Afresh Energy Drink Mix Ginger, Elaichi, Lemon, Peach, Cinnamon, Kashmiri Kahwa, Tulsi (Basil)</t>
  </si>
  <si>
    <t>PJS Basic (include GST (2.5% x 2) and Delivery)</t>
  </si>
  <si>
    <t>PJS Basic+ (include GST (2.5% x 2) and Delivery)</t>
  </si>
  <si>
    <t>PJS Advance (include GST (2.5% x 2) and Delivery)</t>
  </si>
  <si>
    <t>PJS Advance+ (include GST (2.5% x 2) and Delivery)</t>
  </si>
  <si>
    <t>PJS Ultimate (include GST (2.5% x 2) and Delivery)</t>
  </si>
  <si>
    <t>PJS Ultimate+ (include GST (2.5% x 2) and Delivery)</t>
  </si>
  <si>
    <t>Herbal Aloe Concentrate Original (500ml)</t>
  </si>
  <si>
    <t>Active Fibre Complex (200g)</t>
  </si>
  <si>
    <t>Item</t>
  </si>
  <si>
    <t>1+2+3+4+10+11</t>
  </si>
  <si>
    <t>1+2+8+9+10+11</t>
  </si>
  <si>
    <t>1+2+3+4+5+10+11</t>
  </si>
  <si>
    <t>1+2+7+8+9+10+11</t>
  </si>
  <si>
    <t>1+2+3+4+5+6+10+11</t>
  </si>
  <si>
    <t>1+2+6+7+8+9+10+11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</si>
</sst>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2" fontId="0" fillId="0" borderId="0" xfId="0" applyNumberFormat="1" applyAlignment="1">
      <alignment horizontal="right" vertical="top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415A-FE3F-4806-A805-7C07EC688965}">
  <dimension ref="A1:O31"/>
  <sheetViews>
    <sheetView workbookViewId="0">
      <selection activeCell="M11" sqref="M11"/>
    </sheetView>
  </sheetViews>
  <sheetFormatPr defaultRowHeight="14.4" x14ac:dyDescent="0.3"/>
  <cols>
    <col min="1" max="1" width="20.88671875" bestFit="1" customWidth="1"/>
    <col min="2" max="2" width="9.109375" style="2" bestFit="1" customWidth="1"/>
    <col min="3" max="3" width="7.77734375" style="2" bestFit="1" customWidth="1"/>
    <col min="4" max="5" width="9.5546875" style="2" customWidth="1"/>
    <col min="6" max="6" width="17" style="2" bestFit="1" customWidth="1"/>
    <col min="7" max="7" width="10" style="2" bestFit="1" customWidth="1"/>
    <col min="8" max="8" width="8.6640625" style="2" bestFit="1" customWidth="1"/>
    <col min="9" max="9" width="9.88671875" style="2" bestFit="1" customWidth="1"/>
    <col min="10" max="10" width="24.88671875" style="2" bestFit="1" customWidth="1"/>
    <col min="11" max="11" width="1.33203125" customWidth="1"/>
    <col min="12" max="12" width="24.6640625" customWidth="1"/>
    <col min="13" max="13" width="12.33203125" style="2" bestFit="1" customWidth="1"/>
    <col min="14" max="14" width="12.33203125" style="2" customWidth="1"/>
    <col min="15" max="15" width="11" style="2" bestFit="1" customWidth="1"/>
  </cols>
  <sheetData>
    <row r="1" spans="1:15" s="1" customFormat="1" x14ac:dyDescent="0.3">
      <c r="B1" s="3" t="s">
        <v>5</v>
      </c>
      <c r="C1" s="3" t="s">
        <v>26</v>
      </c>
      <c r="D1" s="3" t="s">
        <v>29</v>
      </c>
      <c r="E1" s="3" t="s">
        <v>38</v>
      </c>
      <c r="F1" s="3"/>
      <c r="G1" s="3" t="s">
        <v>12</v>
      </c>
      <c r="H1" s="3" t="s">
        <v>25</v>
      </c>
      <c r="I1" s="3" t="s">
        <v>30</v>
      </c>
      <c r="J1" s="3" t="s">
        <v>37</v>
      </c>
      <c r="K1" s="3"/>
      <c r="M1" s="3" t="s">
        <v>17</v>
      </c>
      <c r="N1" s="3" t="s">
        <v>39</v>
      </c>
      <c r="O1" s="3" t="s">
        <v>27</v>
      </c>
    </row>
    <row r="2" spans="1:15" x14ac:dyDescent="0.3">
      <c r="A2" t="s">
        <v>0</v>
      </c>
      <c r="B2" s="2">
        <v>87.97</v>
      </c>
      <c r="C2" s="2">
        <v>47.64</v>
      </c>
      <c r="D2" s="2">
        <f>B2-C2</f>
        <v>40.33</v>
      </c>
      <c r="E2" s="2">
        <f>D2*$G$14</f>
        <v>127.84609999999999</v>
      </c>
      <c r="G2" s="2">
        <v>225</v>
      </c>
      <c r="H2" s="2">
        <v>122.11</v>
      </c>
      <c r="I2" s="2">
        <f>G2-H2</f>
        <v>102.89</v>
      </c>
      <c r="J2" s="2">
        <f>(B2*$G$14)-H2</f>
        <v>156.75489999999996</v>
      </c>
      <c r="L2" t="s">
        <v>0</v>
      </c>
      <c r="M2" s="2">
        <v>2567</v>
      </c>
      <c r="N2" s="2">
        <v>2696</v>
      </c>
      <c r="O2" s="2">
        <v>1469.5</v>
      </c>
    </row>
    <row r="3" spans="1:15" x14ac:dyDescent="0.3">
      <c r="A3" t="s">
        <v>13</v>
      </c>
      <c r="B3" s="2">
        <v>77.08</v>
      </c>
      <c r="C3" s="2">
        <v>41.75</v>
      </c>
      <c r="D3" s="2">
        <f t="shared" ref="D3:D13" si="0">B3-C3</f>
        <v>35.33</v>
      </c>
      <c r="E3" s="2">
        <f t="shared" ref="E3:E13" si="1">D3*$G$14</f>
        <v>111.9961</v>
      </c>
      <c r="G3" s="2">
        <v>174.8</v>
      </c>
      <c r="H3" s="2">
        <v>94.87</v>
      </c>
      <c r="I3" s="2">
        <f t="shared" ref="I3:I9" si="2">G3-H3</f>
        <v>79.930000000000007</v>
      </c>
      <c r="J3" s="2">
        <f t="shared" ref="J3:J13" si="3">(B3*$G$14)-H3</f>
        <v>149.47359999999998</v>
      </c>
      <c r="L3" t="s">
        <v>18</v>
      </c>
      <c r="M3" s="2">
        <v>773</v>
      </c>
      <c r="N3" s="2">
        <v>812</v>
      </c>
      <c r="O3" s="2">
        <v>442</v>
      </c>
    </row>
    <row r="4" spans="1:15" x14ac:dyDescent="0.3">
      <c r="A4" t="s">
        <v>1</v>
      </c>
      <c r="B4" s="2">
        <v>95.96</v>
      </c>
      <c r="C4" s="2">
        <v>51.97</v>
      </c>
      <c r="D4" s="2">
        <f t="shared" si="0"/>
        <v>43.989999999999995</v>
      </c>
      <c r="E4" s="2">
        <f t="shared" si="1"/>
        <v>139.44829999999999</v>
      </c>
      <c r="G4" s="2">
        <v>209.1</v>
      </c>
      <c r="H4" s="2">
        <v>113.48</v>
      </c>
      <c r="I4" s="2">
        <f t="shared" si="2"/>
        <v>95.61999999999999</v>
      </c>
      <c r="J4" s="2">
        <f t="shared" si="3"/>
        <v>190.71319999999997</v>
      </c>
      <c r="L4" t="s">
        <v>1</v>
      </c>
      <c r="M4" s="2">
        <v>2075</v>
      </c>
      <c r="N4" s="2">
        <v>2179</v>
      </c>
      <c r="O4" s="2">
        <v>1187</v>
      </c>
    </row>
    <row r="5" spans="1:15" x14ac:dyDescent="0.3">
      <c r="A5" t="s">
        <v>1</v>
      </c>
      <c r="B5" s="2">
        <v>95.96</v>
      </c>
      <c r="C5" s="2">
        <v>51.97</v>
      </c>
      <c r="D5" s="2">
        <f t="shared" si="0"/>
        <v>43.989999999999995</v>
      </c>
      <c r="E5" s="2">
        <f t="shared" si="1"/>
        <v>139.44829999999999</v>
      </c>
      <c r="G5" s="2">
        <v>209.1</v>
      </c>
      <c r="H5" s="2">
        <v>113.48</v>
      </c>
      <c r="I5" s="2">
        <f t="shared" si="2"/>
        <v>95.61999999999999</v>
      </c>
      <c r="J5" s="2">
        <f t="shared" si="3"/>
        <v>190.71319999999997</v>
      </c>
      <c r="L5" t="s">
        <v>1</v>
      </c>
      <c r="M5" s="2">
        <v>2075</v>
      </c>
      <c r="N5" s="2">
        <v>2179</v>
      </c>
      <c r="O5" s="2">
        <v>1187</v>
      </c>
    </row>
    <row r="6" spans="1:15" x14ac:dyDescent="0.3">
      <c r="A6" t="s">
        <v>2</v>
      </c>
      <c r="B6" s="2">
        <v>67.75</v>
      </c>
      <c r="C6" s="2">
        <v>36.700000000000003</v>
      </c>
      <c r="D6" s="2">
        <f t="shared" si="0"/>
        <v>31.049999999999997</v>
      </c>
      <c r="E6" s="2">
        <f t="shared" si="1"/>
        <v>98.428499999999985</v>
      </c>
      <c r="G6" s="2">
        <v>172</v>
      </c>
      <c r="H6" s="2">
        <v>96.6</v>
      </c>
      <c r="I6" s="2">
        <f t="shared" si="2"/>
        <v>75.400000000000006</v>
      </c>
      <c r="J6" s="2">
        <f t="shared" si="3"/>
        <v>118.16749999999999</v>
      </c>
      <c r="L6" t="s">
        <v>19</v>
      </c>
      <c r="M6" s="2">
        <v>1233</v>
      </c>
      <c r="N6" s="2">
        <v>1295</v>
      </c>
      <c r="O6" s="2">
        <v>706</v>
      </c>
    </row>
    <row r="7" spans="1:15" x14ac:dyDescent="0.3">
      <c r="A7" t="s">
        <v>3</v>
      </c>
      <c r="B7" s="2">
        <v>76.14</v>
      </c>
      <c r="C7" s="2">
        <v>41.23</v>
      </c>
      <c r="D7" s="2">
        <f t="shared" si="0"/>
        <v>34.910000000000004</v>
      </c>
      <c r="E7" s="2">
        <f t="shared" si="1"/>
        <v>110.66470000000001</v>
      </c>
      <c r="G7" s="2">
        <v>200.2</v>
      </c>
      <c r="H7" s="2">
        <v>108.65</v>
      </c>
      <c r="I7" s="2">
        <f t="shared" si="2"/>
        <v>91.549999999999983</v>
      </c>
      <c r="J7" s="2">
        <f t="shared" si="3"/>
        <v>132.71379999999999</v>
      </c>
      <c r="L7" t="s">
        <v>20</v>
      </c>
      <c r="M7" s="2">
        <v>2437</v>
      </c>
      <c r="N7" s="2">
        <v>2559</v>
      </c>
      <c r="O7" s="2">
        <v>1395</v>
      </c>
    </row>
    <row r="8" spans="1:15" x14ac:dyDescent="0.3">
      <c r="A8" t="s">
        <v>4</v>
      </c>
      <c r="B8" s="2">
        <v>16.559999999999999</v>
      </c>
      <c r="C8" s="2">
        <v>16.559999999999999</v>
      </c>
      <c r="D8" s="2">
        <f t="shared" si="0"/>
        <v>0</v>
      </c>
      <c r="E8" s="2">
        <f t="shared" si="1"/>
        <v>0</v>
      </c>
      <c r="G8" s="2">
        <v>48.2</v>
      </c>
      <c r="H8" s="2">
        <v>48.2</v>
      </c>
      <c r="I8" s="2">
        <f t="shared" si="2"/>
        <v>0</v>
      </c>
      <c r="J8" s="2">
        <f>(B8*$G$14)-H8</f>
        <v>4.2951999999999941</v>
      </c>
    </row>
    <row r="9" spans="1:15" x14ac:dyDescent="0.3">
      <c r="A9" t="s">
        <v>6</v>
      </c>
      <c r="B9" s="2">
        <v>7.51</v>
      </c>
      <c r="C9" s="2">
        <v>7.51</v>
      </c>
      <c r="D9" s="2">
        <f t="shared" si="0"/>
        <v>0</v>
      </c>
      <c r="E9" s="2">
        <f t="shared" si="1"/>
        <v>0</v>
      </c>
      <c r="G9" s="2">
        <f>12.8+3.9</f>
        <v>16.7</v>
      </c>
      <c r="H9" s="2">
        <f>12.8+3.9</f>
        <v>16.7</v>
      </c>
      <c r="I9" s="2">
        <f t="shared" si="2"/>
        <v>0</v>
      </c>
      <c r="J9" s="2">
        <f t="shared" si="3"/>
        <v>7.1067</v>
      </c>
      <c r="M9" s="2">
        <f>200</f>
        <v>200</v>
      </c>
      <c r="N9" s="2">
        <v>200</v>
      </c>
      <c r="O9" s="2">
        <v>200</v>
      </c>
    </row>
    <row r="10" spans="1:15" x14ac:dyDescent="0.3">
      <c r="A10" t="s">
        <v>28</v>
      </c>
      <c r="B10" s="2">
        <v>3.27</v>
      </c>
      <c r="C10" s="2">
        <v>3.27</v>
      </c>
      <c r="D10" s="2">
        <f t="shared" si="0"/>
        <v>0</v>
      </c>
      <c r="E10" s="2">
        <f t="shared" si="1"/>
        <v>0</v>
      </c>
    </row>
    <row r="11" spans="1:15" x14ac:dyDescent="0.3">
      <c r="A11" s="1" t="s">
        <v>7</v>
      </c>
      <c r="B11" s="3">
        <f>B2+B3+B4+B5+B8+B9+B10</f>
        <v>384.30999999999995</v>
      </c>
      <c r="C11" s="3">
        <f>C2+C3+C4+C5+C8+C9+C10</f>
        <v>220.67000000000002</v>
      </c>
      <c r="D11" s="3">
        <f t="shared" si="0"/>
        <v>163.63999999999993</v>
      </c>
      <c r="E11" s="3">
        <f t="shared" si="1"/>
        <v>518.73879999999974</v>
      </c>
      <c r="F11" s="1" t="s">
        <v>16</v>
      </c>
      <c r="G11" s="3">
        <f>G2+G3+G4+G5+G8+G9</f>
        <v>882.90000000000009</v>
      </c>
      <c r="H11" s="3">
        <f>H2+H3+H4+H5+H8+H9</f>
        <v>508.84000000000003</v>
      </c>
      <c r="I11" s="3">
        <f t="shared" ref="I11:I13" si="4">G11-H11</f>
        <v>374.06000000000006</v>
      </c>
      <c r="J11" s="3">
        <f t="shared" si="3"/>
        <v>709.42269999999974</v>
      </c>
      <c r="L11" t="s">
        <v>42</v>
      </c>
      <c r="M11" s="3">
        <f>(M2+M3+M4+M5+M8+M9)*1.05</f>
        <v>8074.5</v>
      </c>
      <c r="N11" s="3">
        <f>(N2+N3+N4+N5+N8+N9)*1.05</f>
        <v>8469.3000000000011</v>
      </c>
      <c r="O11" s="3">
        <f>(O2+O3+O4+O5+O8+O9)*1.05</f>
        <v>4709.7750000000005</v>
      </c>
    </row>
    <row r="12" spans="1:15" x14ac:dyDescent="0.3">
      <c r="A12" s="1" t="s">
        <v>8</v>
      </c>
      <c r="B12" s="3">
        <f>B2+B3+B4+B5+B6+B8+B9+B10</f>
        <v>452.05999999999995</v>
      </c>
      <c r="C12" s="3">
        <f>C2+C3+C4+C5+C6+C8+C9+C10</f>
        <v>257.37</v>
      </c>
      <c r="D12" s="3">
        <f t="shared" si="0"/>
        <v>194.68999999999994</v>
      </c>
      <c r="E12" s="3">
        <f t="shared" si="1"/>
        <v>617.16729999999984</v>
      </c>
      <c r="F12" s="1" t="s">
        <v>15</v>
      </c>
      <c r="G12" s="3">
        <f t="shared" ref="G12:H12" si="5">G2+G3+G4+G5+G6+G8+G9</f>
        <v>1054.9000000000001</v>
      </c>
      <c r="H12" s="3">
        <f t="shared" si="5"/>
        <v>605.44000000000017</v>
      </c>
      <c r="I12" s="3">
        <f t="shared" si="4"/>
        <v>449.45999999999992</v>
      </c>
      <c r="J12" s="3">
        <f t="shared" si="3"/>
        <v>827.59019999999953</v>
      </c>
      <c r="L12" t="s">
        <v>42</v>
      </c>
      <c r="M12" s="3">
        <f>(M2+M3+M4+M5+M6+M8+M9)*1.05</f>
        <v>9369.15</v>
      </c>
      <c r="N12" s="3">
        <f t="shared" ref="N12:O12" si="6">(N2+N3+N4+N5+N6+N8+N9)*1.05</f>
        <v>9829.0500000000011</v>
      </c>
      <c r="O12" s="3">
        <f t="shared" si="6"/>
        <v>5451.0749999999998</v>
      </c>
    </row>
    <row r="13" spans="1:15" x14ac:dyDescent="0.3">
      <c r="A13" s="1" t="s">
        <v>9</v>
      </c>
      <c r="B13" s="3">
        <f>B2+B3+B4+B5+B6+B7+B8+B9+B10</f>
        <v>528.19999999999993</v>
      </c>
      <c r="C13" s="3">
        <f>C2+C3+C4+C5+C6+C7+C8+C9+C10</f>
        <v>298.60000000000002</v>
      </c>
      <c r="D13" s="3">
        <f t="shared" si="0"/>
        <v>229.59999999999991</v>
      </c>
      <c r="E13" s="3">
        <f t="shared" si="1"/>
        <v>727.83199999999965</v>
      </c>
      <c r="F13" s="1" t="s">
        <v>14</v>
      </c>
      <c r="G13" s="3">
        <f t="shared" ref="G13:H13" si="7">G2+G3+G4+G5+G6+G7+G8+G9</f>
        <v>1255.1000000000001</v>
      </c>
      <c r="H13" s="3">
        <f t="shared" si="7"/>
        <v>714.09000000000015</v>
      </c>
      <c r="I13" s="3">
        <f t="shared" si="4"/>
        <v>541.01</v>
      </c>
      <c r="J13" s="3">
        <f t="shared" si="3"/>
        <v>960.30399999999963</v>
      </c>
      <c r="L13" t="s">
        <v>42</v>
      </c>
      <c r="M13" s="3">
        <f>(M2+M3+M4+M5+M6+M7+M8+M9)*1.05</f>
        <v>11928</v>
      </c>
      <c r="N13" s="3">
        <f t="shared" ref="N13:O13" si="8">(N2+N3+N4+N5+N6+N7+N8+N9)*1.05</f>
        <v>12516</v>
      </c>
      <c r="O13" s="3">
        <f t="shared" si="8"/>
        <v>6915.8250000000007</v>
      </c>
    </row>
    <row r="14" spans="1:15" x14ac:dyDescent="0.3">
      <c r="F14" s="3" t="s">
        <v>24</v>
      </c>
      <c r="G14" s="2">
        <v>3.17</v>
      </c>
    </row>
    <row r="15" spans="1:15" x14ac:dyDescent="0.3">
      <c r="A15" s="1" t="s">
        <v>10</v>
      </c>
      <c r="B15" s="2">
        <v>27.88</v>
      </c>
      <c r="G15" s="2">
        <v>58</v>
      </c>
    </row>
    <row r="16" spans="1:15" x14ac:dyDescent="0.3">
      <c r="A16" s="1" t="s">
        <v>10</v>
      </c>
      <c r="B16" s="2">
        <v>27.88</v>
      </c>
      <c r="G16" s="2">
        <v>58</v>
      </c>
      <c r="L16" t="s">
        <v>43</v>
      </c>
      <c r="M16" s="2">
        <v>100</v>
      </c>
      <c r="N16" s="2">
        <v>100</v>
      </c>
      <c r="O16" s="2">
        <v>100</v>
      </c>
    </row>
    <row r="17" spans="1:15" x14ac:dyDescent="0.3">
      <c r="A17" s="1" t="s">
        <v>11</v>
      </c>
      <c r="B17" s="2">
        <v>15.73</v>
      </c>
      <c r="G17" s="2">
        <v>36.700000000000003</v>
      </c>
      <c r="L17" s="1" t="s">
        <v>44</v>
      </c>
      <c r="M17" s="3">
        <f t="shared" ref="M17:N17" si="9">M11+M16</f>
        <v>8174.5</v>
      </c>
      <c r="N17" s="3">
        <f t="shared" si="9"/>
        <v>8569.3000000000011</v>
      </c>
      <c r="O17" s="3">
        <f>O11+O16</f>
        <v>4809.7750000000005</v>
      </c>
    </row>
    <row r="18" spans="1:15" x14ac:dyDescent="0.3">
      <c r="L18" s="1" t="s">
        <v>45</v>
      </c>
      <c r="M18" s="3">
        <f>M12+M16</f>
        <v>9469.15</v>
      </c>
      <c r="N18" s="3">
        <f t="shared" ref="N18:O18" si="10">N12+N16</f>
        <v>9929.0500000000011</v>
      </c>
      <c r="O18" s="3">
        <f t="shared" si="10"/>
        <v>5551.0749999999998</v>
      </c>
    </row>
    <row r="19" spans="1:15" x14ac:dyDescent="0.3">
      <c r="A19" s="1" t="s">
        <v>21</v>
      </c>
      <c r="F19" s="3" t="s">
        <v>31</v>
      </c>
      <c r="L19" s="1" t="s">
        <v>46</v>
      </c>
      <c r="M19" s="3">
        <f>M13+M16</f>
        <v>12028</v>
      </c>
      <c r="N19" s="3">
        <f t="shared" ref="N19:O19" si="11">N13+N16</f>
        <v>12616</v>
      </c>
      <c r="O19" s="3">
        <f t="shared" si="11"/>
        <v>7015.8250000000007</v>
      </c>
    </row>
    <row r="20" spans="1:15" x14ac:dyDescent="0.3">
      <c r="A20" t="s">
        <v>1</v>
      </c>
      <c r="B20" s="4">
        <v>404.91</v>
      </c>
      <c r="C20" s="4">
        <v>219.29</v>
      </c>
      <c r="F20" s="2" t="s">
        <v>1</v>
      </c>
      <c r="G20" s="4">
        <v>555.9</v>
      </c>
      <c r="H20" s="4">
        <v>304.94</v>
      </c>
    </row>
    <row r="21" spans="1:15" x14ac:dyDescent="0.3">
      <c r="A21" t="s">
        <v>0</v>
      </c>
      <c r="B21" s="4"/>
      <c r="C21" s="4"/>
      <c r="F21" s="2" t="s">
        <v>32</v>
      </c>
      <c r="G21" s="4"/>
      <c r="H21" s="4"/>
    </row>
    <row r="22" spans="1:15" x14ac:dyDescent="0.3">
      <c r="A22" t="s">
        <v>2</v>
      </c>
      <c r="B22" s="4"/>
      <c r="C22" s="4"/>
      <c r="F22" s="2" t="s">
        <v>2</v>
      </c>
      <c r="G22" s="4"/>
      <c r="H22" s="4"/>
    </row>
    <row r="23" spans="1:15" x14ac:dyDescent="0.3">
      <c r="A23" t="s">
        <v>3</v>
      </c>
      <c r="B23" s="4"/>
      <c r="C23" s="4"/>
      <c r="F23" s="2" t="s">
        <v>33</v>
      </c>
      <c r="G23" s="4"/>
      <c r="H23" s="4"/>
    </row>
    <row r="24" spans="1:15" x14ac:dyDescent="0.3">
      <c r="A24" t="s">
        <v>22</v>
      </c>
      <c r="B24" s="4"/>
      <c r="C24" s="4"/>
      <c r="F24" s="2" t="s">
        <v>34</v>
      </c>
      <c r="G24" s="4"/>
      <c r="H24" s="4"/>
      <c r="L24" t="s">
        <v>40</v>
      </c>
      <c r="M24" s="2">
        <v>2366</v>
      </c>
      <c r="N24" s="2">
        <v>2485</v>
      </c>
      <c r="O24" s="2">
        <v>1354.5</v>
      </c>
    </row>
    <row r="25" spans="1:15" x14ac:dyDescent="0.3">
      <c r="A25" t="s">
        <v>23</v>
      </c>
      <c r="B25" s="4"/>
      <c r="C25" s="4"/>
      <c r="F25" s="2" t="s">
        <v>0</v>
      </c>
      <c r="G25" s="2">
        <v>225</v>
      </c>
      <c r="H25" s="2">
        <v>122.1</v>
      </c>
      <c r="L25" t="s">
        <v>41</v>
      </c>
      <c r="M25" s="2">
        <v>3073</v>
      </c>
      <c r="N25" s="2">
        <v>3227</v>
      </c>
      <c r="O25" s="2">
        <v>1759</v>
      </c>
    </row>
    <row r="26" spans="1:15" x14ac:dyDescent="0.3">
      <c r="A26" t="s">
        <v>1</v>
      </c>
      <c r="B26" s="2">
        <v>95.96</v>
      </c>
      <c r="C26" s="2">
        <v>51.97</v>
      </c>
      <c r="F26" s="2" t="s">
        <v>1</v>
      </c>
      <c r="G26" s="2">
        <v>209.1</v>
      </c>
      <c r="H26" s="2">
        <v>113.48</v>
      </c>
    </row>
    <row r="27" spans="1:15" x14ac:dyDescent="0.3">
      <c r="A27" t="s">
        <v>4</v>
      </c>
      <c r="B27" s="2">
        <v>16.559999999999999</v>
      </c>
      <c r="C27" s="2">
        <v>16.559999999999999</v>
      </c>
      <c r="F27" s="2" t="s">
        <v>3</v>
      </c>
      <c r="G27" s="2">
        <v>200.2</v>
      </c>
      <c r="H27" s="2">
        <v>108.65</v>
      </c>
    </row>
    <row r="28" spans="1:15" x14ac:dyDescent="0.3">
      <c r="A28" t="s">
        <v>6</v>
      </c>
      <c r="B28" s="2">
        <v>7.51</v>
      </c>
      <c r="C28" s="2">
        <v>7.51</v>
      </c>
      <c r="F28" s="2" t="s">
        <v>35</v>
      </c>
      <c r="G28" s="2">
        <v>12.8</v>
      </c>
      <c r="H28" s="2">
        <v>12.8</v>
      </c>
    </row>
    <row r="29" spans="1:15" x14ac:dyDescent="0.3">
      <c r="A29" t="s">
        <v>28</v>
      </c>
      <c r="B29" s="2">
        <v>3.27</v>
      </c>
      <c r="C29" s="2">
        <v>3.27</v>
      </c>
      <c r="F29" s="2" t="s">
        <v>4</v>
      </c>
      <c r="G29" s="2">
        <v>48.2</v>
      </c>
      <c r="H29" s="2">
        <v>48.2</v>
      </c>
    </row>
    <row r="31" spans="1:15" x14ac:dyDescent="0.3">
      <c r="A31" s="1" t="s">
        <v>36</v>
      </c>
      <c r="B31" s="3">
        <f>SUM(B20:B29)</f>
        <v>528.20999999999992</v>
      </c>
      <c r="C31" s="3">
        <f>SUM(C20:C29)</f>
        <v>298.59999999999997</v>
      </c>
      <c r="D31" s="3">
        <f t="shared" ref="D31" si="12">B31-C31</f>
        <v>229.60999999999996</v>
      </c>
      <c r="E31" s="3">
        <f t="shared" ref="E31" si="13">D31*$G$14</f>
        <v>727.86369999999988</v>
      </c>
      <c r="F31" s="3"/>
      <c r="G31" s="3">
        <f t="shared" ref="G31:H31" si="14">SUM(G20:G29)</f>
        <v>1251.2</v>
      </c>
      <c r="H31" s="3">
        <f t="shared" si="14"/>
        <v>710.17</v>
      </c>
      <c r="I31" s="3">
        <f t="shared" ref="I31" si="15">G31-H31</f>
        <v>541.03000000000009</v>
      </c>
    </row>
  </sheetData>
  <mergeCells count="4">
    <mergeCell ref="B20:B25"/>
    <mergeCell ref="C20:C25"/>
    <mergeCell ref="G20:G24"/>
    <mergeCell ref="H20:H24"/>
  </mergeCells>
  <pageMargins left="0.7" right="0.7" top="0.75" bottom="0.75" header="0.3" footer="0.3"/>
  <pageSetup orientation="landscape" r:id="rId1"/>
  <ignoredErrors>
    <ignoredError sqref="M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319E-2240-40B7-959D-256A58D06B4C}">
  <dimension ref="A1:E28"/>
  <sheetViews>
    <sheetView tabSelected="1" workbookViewId="0">
      <selection activeCell="I12" sqref="I12"/>
    </sheetView>
  </sheetViews>
  <sheetFormatPr defaultRowHeight="14.4" x14ac:dyDescent="0.3"/>
  <cols>
    <col min="1" max="1" width="18.21875" bestFit="1" customWidth="1"/>
    <col min="2" max="2" width="45.77734375" style="6" customWidth="1"/>
    <col min="3" max="3" width="12.77734375" bestFit="1" customWidth="1"/>
    <col min="4" max="4" width="12.77734375" customWidth="1"/>
    <col min="5" max="5" width="15.6640625" customWidth="1"/>
  </cols>
  <sheetData>
    <row r="1" spans="1:5" x14ac:dyDescent="0.3">
      <c r="B1" s="5" t="s">
        <v>60</v>
      </c>
      <c r="C1" s="3" t="s">
        <v>17</v>
      </c>
      <c r="D1" s="3" t="s">
        <v>39</v>
      </c>
      <c r="E1" s="3" t="s">
        <v>47</v>
      </c>
    </row>
    <row r="2" spans="1:5" x14ac:dyDescent="0.3">
      <c r="A2">
        <v>1</v>
      </c>
      <c r="B2" s="6" t="s">
        <v>58</v>
      </c>
      <c r="C2" s="2">
        <v>2567</v>
      </c>
      <c r="D2" s="2">
        <v>2696</v>
      </c>
      <c r="E2" s="2">
        <v>1469.5</v>
      </c>
    </row>
    <row r="3" spans="1:5" ht="28.8" x14ac:dyDescent="0.3">
      <c r="A3">
        <v>2</v>
      </c>
      <c r="B3" s="6" t="s">
        <v>51</v>
      </c>
      <c r="C3" s="2">
        <v>773</v>
      </c>
      <c r="D3" s="2">
        <v>812</v>
      </c>
      <c r="E3" s="2">
        <v>442</v>
      </c>
    </row>
    <row r="4" spans="1:5" ht="28.8" x14ac:dyDescent="0.3">
      <c r="A4">
        <v>3</v>
      </c>
      <c r="B4" s="6" t="s">
        <v>50</v>
      </c>
      <c r="C4" s="2">
        <v>2075</v>
      </c>
      <c r="D4" s="2">
        <v>2179</v>
      </c>
      <c r="E4" s="2">
        <v>1187</v>
      </c>
    </row>
    <row r="5" spans="1:5" ht="28.8" x14ac:dyDescent="0.3">
      <c r="A5">
        <v>4</v>
      </c>
      <c r="B5" s="6" t="s">
        <v>50</v>
      </c>
      <c r="C5" s="2">
        <v>2075</v>
      </c>
      <c r="D5" s="2">
        <v>2179</v>
      </c>
      <c r="E5" s="2">
        <v>1187</v>
      </c>
    </row>
    <row r="6" spans="1:5" x14ac:dyDescent="0.3">
      <c r="A6">
        <v>5</v>
      </c>
      <c r="B6" s="6" t="s">
        <v>19</v>
      </c>
      <c r="C6" s="2">
        <v>1233</v>
      </c>
      <c r="D6" s="2">
        <v>1295</v>
      </c>
      <c r="E6" s="2">
        <v>706</v>
      </c>
    </row>
    <row r="7" spans="1:5" x14ac:dyDescent="0.3">
      <c r="A7">
        <v>6</v>
      </c>
      <c r="B7" s="6" t="s">
        <v>59</v>
      </c>
      <c r="C7" s="2">
        <v>2437</v>
      </c>
      <c r="D7" s="2">
        <v>2559</v>
      </c>
      <c r="E7" s="2">
        <v>1395</v>
      </c>
    </row>
    <row r="8" spans="1:5" x14ac:dyDescent="0.3">
      <c r="A8">
        <v>7</v>
      </c>
      <c r="B8" s="6" t="s">
        <v>40</v>
      </c>
      <c r="C8" s="2">
        <v>2366</v>
      </c>
      <c r="D8" s="2">
        <v>2485</v>
      </c>
      <c r="E8" s="2">
        <v>1354.5</v>
      </c>
    </row>
    <row r="9" spans="1:5" x14ac:dyDescent="0.3">
      <c r="A9">
        <v>8</v>
      </c>
      <c r="B9" s="6" t="s">
        <v>49</v>
      </c>
      <c r="C9" s="2">
        <v>3073</v>
      </c>
      <c r="D9" s="2">
        <v>3227</v>
      </c>
      <c r="E9" s="2">
        <v>1759</v>
      </c>
    </row>
    <row r="10" spans="1:5" x14ac:dyDescent="0.3">
      <c r="A10">
        <v>9</v>
      </c>
      <c r="B10" s="6" t="s">
        <v>49</v>
      </c>
      <c r="C10" s="2">
        <v>3073</v>
      </c>
      <c r="D10" s="2">
        <v>3227</v>
      </c>
      <c r="E10" s="2">
        <v>1759</v>
      </c>
    </row>
    <row r="11" spans="1:5" x14ac:dyDescent="0.3">
      <c r="A11">
        <v>10</v>
      </c>
      <c r="B11" s="6" t="s">
        <v>48</v>
      </c>
      <c r="C11" s="2">
        <f>200</f>
        <v>200</v>
      </c>
      <c r="D11" s="2">
        <v>200</v>
      </c>
      <c r="E11" s="2">
        <v>200</v>
      </c>
    </row>
    <row r="12" spans="1:5" x14ac:dyDescent="0.3">
      <c r="A12">
        <v>11</v>
      </c>
      <c r="B12" s="6" t="s">
        <v>43</v>
      </c>
      <c r="C12" s="2">
        <v>100</v>
      </c>
      <c r="D12" s="2">
        <v>100</v>
      </c>
      <c r="E12" s="2">
        <v>100</v>
      </c>
    </row>
    <row r="13" spans="1:5" x14ac:dyDescent="0.3">
      <c r="C13" s="2"/>
      <c r="D13" s="2"/>
      <c r="E13" s="2"/>
    </row>
    <row r="14" spans="1:5" x14ac:dyDescent="0.3">
      <c r="A14" t="s">
        <v>61</v>
      </c>
      <c r="B14" s="6" t="s">
        <v>52</v>
      </c>
      <c r="C14" s="3">
        <f>(C2+C3+C4+C5+C11)*1.05+C12</f>
        <v>8174.5</v>
      </c>
      <c r="D14" s="3">
        <f>(D2+D3+D4+D5+D11)*1.05+D12</f>
        <v>8569.3000000000011</v>
      </c>
      <c r="E14" s="3">
        <f>(E2+E3+E4+E5+E11)*1.05+E12</f>
        <v>4809.7750000000005</v>
      </c>
    </row>
    <row r="15" spans="1:5" x14ac:dyDescent="0.3">
      <c r="A15" t="s">
        <v>62</v>
      </c>
      <c r="B15" s="6" t="s">
        <v>53</v>
      </c>
      <c r="C15" s="3">
        <f>(C2+C3+C9+C10+C11+C12)*1.05+C12</f>
        <v>10375.300000000001</v>
      </c>
      <c r="D15" s="3">
        <f>(D2+D3+D9+D10+D11+D12)*1.05+D12</f>
        <v>10875.1</v>
      </c>
      <c r="E15" s="3">
        <f>(E2+E3+E9+E10+E11+E12)*1.05+E12</f>
        <v>6115.9750000000004</v>
      </c>
    </row>
    <row r="16" spans="1:5" x14ac:dyDescent="0.3">
      <c r="A16" t="s">
        <v>63</v>
      </c>
      <c r="B16" s="6" t="s">
        <v>54</v>
      </c>
      <c r="C16" s="3">
        <f>(C2+C3+C4+C5+C6+C11)*1.05+C12</f>
        <v>9469.15</v>
      </c>
      <c r="D16" s="3">
        <f t="shared" ref="D16:E16" si="0">(D2+D3+D4+D5+D6+D11)*1.05+D12</f>
        <v>9929.0500000000011</v>
      </c>
      <c r="E16" s="3">
        <f t="shared" si="0"/>
        <v>5551.0749999999998</v>
      </c>
    </row>
    <row r="17" spans="1:5" x14ac:dyDescent="0.3">
      <c r="A17" t="s">
        <v>64</v>
      </c>
      <c r="B17" s="6" t="s">
        <v>55</v>
      </c>
      <c r="C17" s="3">
        <f>(C2+C3+C8+C9+C10+C11)*1.05+C12</f>
        <v>12754.6</v>
      </c>
      <c r="D17" s="3">
        <f>(D2+D3+D8+D9+D10+D11)*1.05+D12</f>
        <v>13379.35</v>
      </c>
      <c r="E17" s="3">
        <f>(E2+E3+E8+E9+E10+E11)*1.05+E12</f>
        <v>7433.2000000000007</v>
      </c>
    </row>
    <row r="18" spans="1:5" x14ac:dyDescent="0.3">
      <c r="A18" t="s">
        <v>65</v>
      </c>
      <c r="B18" s="6" t="s">
        <v>56</v>
      </c>
      <c r="C18" s="3">
        <f>(C2+C3+C4+C5+C6+C7+C11)*1.05+C12</f>
        <v>12028</v>
      </c>
      <c r="D18" s="3">
        <f t="shared" ref="D18:E18" si="1">(D2+D3+D4+D5+D6+D7+D11)*1.05+D12</f>
        <v>12616</v>
      </c>
      <c r="E18" s="3">
        <f t="shared" si="1"/>
        <v>7015.8250000000007</v>
      </c>
    </row>
    <row r="19" spans="1:5" x14ac:dyDescent="0.3">
      <c r="A19" t="s">
        <v>66</v>
      </c>
      <c r="B19" s="6" t="s">
        <v>57</v>
      </c>
      <c r="C19" s="3">
        <f>(C2+C3+C8+C9+C10+C7+C11)*1.05+C12</f>
        <v>15313.45</v>
      </c>
      <c r="D19" s="3">
        <f>(D2+D3+D8+D9+D10+D7+D11)*1.05+D12</f>
        <v>16066.300000000001</v>
      </c>
      <c r="E19" s="3">
        <f>(E2+E3+E8+E9+E10+E7+E11)*1.05+E12</f>
        <v>8897.9500000000007</v>
      </c>
    </row>
    <row r="20" spans="1:5" x14ac:dyDescent="0.3">
      <c r="C20" s="2"/>
      <c r="D20" s="2"/>
      <c r="E20" s="2"/>
    </row>
    <row r="21" spans="1:5" x14ac:dyDescent="0.3">
      <c r="C21" s="2"/>
      <c r="D21" s="2"/>
      <c r="E21" s="2"/>
    </row>
    <row r="22" spans="1:5" x14ac:dyDescent="0.3">
      <c r="B22" s="5"/>
      <c r="C22" s="3"/>
      <c r="D22" s="3"/>
      <c r="E22" s="3"/>
    </row>
    <row r="23" spans="1:5" x14ac:dyDescent="0.3">
      <c r="B23" s="5"/>
      <c r="C23" s="3"/>
      <c r="D23" s="3"/>
      <c r="E23" s="3"/>
    </row>
    <row r="24" spans="1:5" x14ac:dyDescent="0.3">
      <c r="B24" s="5"/>
      <c r="C24" s="3"/>
      <c r="D24" s="3"/>
      <c r="E24" s="3"/>
    </row>
    <row r="25" spans="1:5" x14ac:dyDescent="0.3">
      <c r="C25" s="2"/>
      <c r="D25" s="2"/>
      <c r="E25" s="2"/>
    </row>
    <row r="26" spans="1:5" x14ac:dyDescent="0.3">
      <c r="C26" s="2"/>
      <c r="D26" s="2"/>
      <c r="E26" s="2"/>
    </row>
    <row r="27" spans="1:5" x14ac:dyDescent="0.3">
      <c r="C27" s="2"/>
      <c r="D27" s="2"/>
      <c r="E27" s="2"/>
    </row>
    <row r="28" spans="1:5" x14ac:dyDescent="0.3">
      <c r="C28" s="2"/>
      <c r="D28" s="2"/>
      <c r="E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Chuen Yen Liew</dc:creator>
  <cp:lastModifiedBy>Chuen Yen Liew</cp:lastModifiedBy>
  <dcterms:created xsi:type="dcterms:W3CDTF">2025-11-26T12:40:02Z</dcterms:created>
  <dcterms:modified xsi:type="dcterms:W3CDTF">2026-01-09T17:10:34Z</dcterms:modified>
</cp:coreProperties>
</file>