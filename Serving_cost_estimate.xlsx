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en\Dropbox\Herbalife\"/>
    </mc:Choice>
  </mc:AlternateContent>
  <xr:revisionPtr revIDLastSave="0" documentId="13_ncr:1_{9931DB3F-F6E3-41C2-A03E-73E98CFC2969}" xr6:coauthVersionLast="47" xr6:coauthVersionMax="47" xr10:uidLastSave="{00000000-0000-0000-0000-000000000000}"/>
  <bookViews>
    <workbookView xWindow="-108" yWindow="-108" windowWidth="23256" windowHeight="12456" activeTab="1" xr2:uid="{17CCCE5A-E77A-4B80-87BF-3F8DA827FB95}"/>
  </bookViews>
  <sheets>
    <sheet name="India" sheetId="1" r:id="rId1"/>
    <sheet name="M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J12" i="2"/>
  <c r="P12" i="2" s="1"/>
  <c r="E12" i="2"/>
  <c r="K11" i="2"/>
  <c r="K10" i="2"/>
  <c r="K9" i="2"/>
  <c r="K8" i="2"/>
  <c r="K7" i="2"/>
  <c r="K6" i="2"/>
  <c r="K5" i="2"/>
  <c r="K4" i="2"/>
  <c r="K3" i="2"/>
  <c r="K2" i="2"/>
  <c r="E11" i="2"/>
  <c r="J11" i="2" s="1"/>
  <c r="N11" i="2" s="1"/>
  <c r="E10" i="2"/>
  <c r="J10" i="2" s="1"/>
  <c r="P10" i="2" s="1"/>
  <c r="F10" i="2"/>
  <c r="F7" i="2"/>
  <c r="F6" i="2"/>
  <c r="F5" i="2"/>
  <c r="F4" i="2"/>
  <c r="F3" i="2"/>
  <c r="E9" i="2"/>
  <c r="J9" i="2" s="1"/>
  <c r="O9" i="2" s="1"/>
  <c r="E8" i="2"/>
  <c r="J8" i="2" s="1"/>
  <c r="P8" i="2" s="1"/>
  <c r="E7" i="2"/>
  <c r="J7" i="2" s="1"/>
  <c r="O7" i="2" s="1"/>
  <c r="E6" i="2"/>
  <c r="J6" i="2" s="1"/>
  <c r="P6" i="2" s="1"/>
  <c r="E5" i="2"/>
  <c r="J5" i="2" s="1"/>
  <c r="P5" i="2" s="1"/>
  <c r="E4" i="2"/>
  <c r="J4" i="2" s="1"/>
  <c r="P4" i="2" s="1"/>
  <c r="E3" i="2"/>
  <c r="J3" i="2" s="1"/>
  <c r="N3" i="2" s="1"/>
  <c r="E2" i="2"/>
  <c r="J2" i="2" s="1"/>
  <c r="H11" i="1"/>
  <c r="H10" i="1"/>
  <c r="H9" i="1"/>
  <c r="H8" i="1"/>
  <c r="H7" i="1"/>
  <c r="H6" i="1"/>
  <c r="H5" i="1"/>
  <c r="H4" i="1"/>
  <c r="H3" i="1"/>
  <c r="H2" i="1"/>
  <c r="K12" i="2" l="1"/>
  <c r="L12" i="2"/>
  <c r="M12" i="2"/>
  <c r="N12" i="2"/>
  <c r="O12" i="2"/>
  <c r="F8" i="2"/>
  <c r="F9" i="2"/>
  <c r="F11" i="2"/>
  <c r="O11" i="2"/>
  <c r="P11" i="2"/>
  <c r="L10" i="2"/>
  <c r="M10" i="2"/>
  <c r="N10" i="2"/>
  <c r="O10" i="2"/>
  <c r="M11" i="2"/>
  <c r="L11" i="2"/>
  <c r="F2" i="2"/>
  <c r="P9" i="2"/>
  <c r="L9" i="2"/>
  <c r="N9" i="2"/>
  <c r="M9" i="2"/>
  <c r="L3" i="2"/>
  <c r="M7" i="2"/>
  <c r="N7" i="2"/>
  <c r="P3" i="2"/>
  <c r="P7" i="2"/>
  <c r="L4" i="2"/>
  <c r="L7" i="2"/>
  <c r="M5" i="2"/>
  <c r="N5" i="2"/>
  <c r="L6" i="2"/>
  <c r="M4" i="2"/>
  <c r="M8" i="2"/>
  <c r="N4" i="2"/>
  <c r="N6" i="2"/>
  <c r="N8" i="2"/>
  <c r="L5" i="2"/>
  <c r="O3" i="2"/>
  <c r="L8" i="2"/>
  <c r="M6" i="2"/>
  <c r="O4" i="2"/>
  <c r="O6" i="2"/>
  <c r="O8" i="2"/>
  <c r="M3" i="2"/>
  <c r="O5" i="2"/>
  <c r="P2" i="2"/>
  <c r="N2" i="2"/>
  <c r="M2" i="2"/>
  <c r="L2" i="2"/>
  <c r="O2" i="2"/>
  <c r="D4" i="1"/>
  <c r="G4" i="1" s="1"/>
  <c r="D3" i="1"/>
  <c r="G3" i="1" s="1"/>
  <c r="D11" i="1"/>
  <c r="G11" i="1" s="1"/>
  <c r="I11" i="1" s="1"/>
  <c r="D10" i="1"/>
  <c r="G10" i="1" s="1"/>
  <c r="D9" i="1"/>
  <c r="G9" i="1" s="1"/>
  <c r="I9" i="1" s="1"/>
  <c r="D8" i="1"/>
  <c r="G8" i="1" s="1"/>
  <c r="I8" i="1" s="1"/>
  <c r="D7" i="1"/>
  <c r="G7" i="1" s="1"/>
  <c r="I7" i="1" s="1"/>
  <c r="D6" i="1"/>
  <c r="G6" i="1" s="1"/>
  <c r="D5" i="1"/>
  <c r="G5" i="1" s="1"/>
  <c r="D2" i="1"/>
  <c r="G2" i="1" s="1"/>
  <c r="J2" i="1" l="1"/>
  <c r="I2" i="1"/>
  <c r="L10" i="1"/>
  <c r="I10" i="1"/>
  <c r="K5" i="1"/>
  <c r="I5" i="1"/>
  <c r="J3" i="1"/>
  <c r="I3" i="1"/>
  <c r="J4" i="1"/>
  <c r="I4" i="1"/>
  <c r="J6" i="1"/>
  <c r="I6" i="1"/>
  <c r="J11" i="1"/>
  <c r="K11" i="1"/>
  <c r="L11" i="1"/>
  <c r="J7" i="1"/>
  <c r="K7" i="1"/>
  <c r="L3" i="1"/>
  <c r="L4" i="1"/>
  <c r="K2" i="1"/>
  <c r="K6" i="1"/>
  <c r="K3" i="1"/>
  <c r="L8" i="1"/>
  <c r="K8" i="1"/>
  <c r="J8" i="1"/>
  <c r="J9" i="1"/>
  <c r="K9" i="1"/>
  <c r="J10" i="1"/>
  <c r="K10" i="1"/>
  <c r="K4" i="1"/>
  <c r="J5" i="1"/>
  <c r="L5" i="1"/>
  <c r="L6" i="1"/>
  <c r="L9" i="1"/>
  <c r="L2" i="1"/>
  <c r="L7" i="1"/>
</calcChain>
</file>

<file path=xl/sharedStrings.xml><?xml version="1.0" encoding="utf-8"?>
<sst xmlns="http://schemas.openxmlformats.org/spreadsheetml/2006/main" count="45" uniqueCount="29">
  <si>
    <t>1 serving</t>
  </si>
  <si>
    <t>Total</t>
  </si>
  <si>
    <t>Total servings</t>
  </si>
  <si>
    <t>Shakemate (2 scoop)</t>
  </si>
  <si>
    <t>Fiber (1 scoop)</t>
  </si>
  <si>
    <t>Aloe (1.5 caps)</t>
  </si>
  <si>
    <t>Afresh (1 teaspoon)</t>
  </si>
  <si>
    <t>Niteworks (1 scoop)</t>
  </si>
  <si>
    <t>F1 (3 scoop)</t>
  </si>
  <si>
    <t>F3 (1 scoop)</t>
  </si>
  <si>
    <t>Servings per day</t>
  </si>
  <si>
    <t>Per month</t>
  </si>
  <si>
    <t>3 months</t>
  </si>
  <si>
    <t>6 months</t>
  </si>
  <si>
    <t>4 months</t>
  </si>
  <si>
    <t>Multivit</t>
  </si>
  <si>
    <t>2 months</t>
  </si>
  <si>
    <t>1.5 months</t>
  </si>
  <si>
    <t>Price</t>
  </si>
  <si>
    <t>Protein</t>
  </si>
  <si>
    <t>Immulift</t>
  </si>
  <si>
    <t>Omega 3</t>
  </si>
  <si>
    <t>Niteworks (2 scoop)</t>
  </si>
  <si>
    <t>Aloe (3 caps)</t>
  </si>
  <si>
    <t>Tea mix (1 teaspoon)</t>
  </si>
  <si>
    <t>Guarana (1 teaspoon)</t>
  </si>
  <si>
    <t>RM/serving</t>
  </si>
  <si>
    <t>RM/month</t>
  </si>
  <si>
    <t>Collagen (2 scoop)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</si>
</sst>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2" fontId="3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579120</xdr:colOff>
      <xdr:row>13</xdr:row>
      <xdr:rowOff>7620</xdr:rowOff>
    </xdr:from>
    <xdr:to>
      <xdr:col>9</xdr:col>
      <xdr:colOff>289938</xdr:colOff>
      <xdr:row>27</xdr:row>
      <xdr:rowOff>45945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95F5E-1428-D861-F6A8-48FC594D4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9460" y="2385060"/>
          <a:ext cx="4366638" cy="2598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AEA6-A982-4C17-92D0-DB791ADCA1C0}">
  <dimension ref="A1:L11"/>
  <sheetViews>
    <sheetView workbookViewId="0">
      <selection activeCell="B23" sqref="B23"/>
    </sheetView>
  </sheetViews>
  <sheetFormatPr defaultRowHeight="14.4" x14ac:dyDescent="0.3"/>
  <cols>
    <col min="1" max="1" width="18.109375" bestFit="1" customWidth="1"/>
    <col min="3" max="3" width="12.6640625" customWidth="1"/>
    <col min="4" max="4" width="17.6640625" customWidth="1"/>
    <col min="5" max="5" width="1.21875" customWidth="1"/>
    <col min="6" max="6" width="16.33203125" customWidth="1"/>
    <col min="7" max="9" width="10.88671875" customWidth="1"/>
  </cols>
  <sheetData>
    <row r="1" spans="1:12" x14ac:dyDescent="0.3">
      <c r="B1" s="1" t="s">
        <v>1</v>
      </c>
      <c r="C1" s="1" t="s">
        <v>0</v>
      </c>
      <c r="D1" s="1" t="s">
        <v>2</v>
      </c>
      <c r="E1" s="1"/>
      <c r="F1" s="1" t="s">
        <v>10</v>
      </c>
      <c r="G1" s="1" t="s">
        <v>11</v>
      </c>
      <c r="H1" s="1" t="s">
        <v>17</v>
      </c>
      <c r="I1" s="1" t="s">
        <v>16</v>
      </c>
      <c r="J1" s="1" t="s">
        <v>12</v>
      </c>
      <c r="K1" s="1" t="s">
        <v>14</v>
      </c>
      <c r="L1" s="1" t="s">
        <v>13</v>
      </c>
    </row>
    <row r="2" spans="1:12" x14ac:dyDescent="0.3">
      <c r="A2" t="s">
        <v>8</v>
      </c>
      <c r="B2">
        <v>500</v>
      </c>
      <c r="C2">
        <v>25</v>
      </c>
      <c r="D2">
        <f>B2/C2</f>
        <v>20</v>
      </c>
      <c r="F2">
        <v>2</v>
      </c>
      <c r="G2">
        <f>30/(D2/F2)</f>
        <v>3</v>
      </c>
      <c r="H2">
        <f>G2*1.5</f>
        <v>4.5</v>
      </c>
      <c r="I2">
        <f>G2*2</f>
        <v>6</v>
      </c>
      <c r="J2">
        <f>G2*3</f>
        <v>9</v>
      </c>
      <c r="K2">
        <f>G2*4</f>
        <v>12</v>
      </c>
      <c r="L2">
        <f>G2*6</f>
        <v>18</v>
      </c>
    </row>
    <row r="3" spans="1:12" x14ac:dyDescent="0.3">
      <c r="A3" t="s">
        <v>8</v>
      </c>
      <c r="B3">
        <v>750</v>
      </c>
      <c r="C3">
        <v>25</v>
      </c>
      <c r="D3">
        <f>B3/C3</f>
        <v>30</v>
      </c>
      <c r="F3">
        <v>2</v>
      </c>
      <c r="G3">
        <f t="shared" ref="G3:G11" si="0">30/(D3/F3)</f>
        <v>2</v>
      </c>
      <c r="H3">
        <f t="shared" ref="H3:H11" si="1">G3*1.5</f>
        <v>3</v>
      </c>
      <c r="I3">
        <f t="shared" ref="I3:I11" si="2">G3*2</f>
        <v>4</v>
      </c>
      <c r="J3">
        <f t="shared" ref="J3:J11" si="3">G3*3</f>
        <v>6</v>
      </c>
      <c r="K3">
        <f t="shared" ref="K3:K11" si="4">G3*4</f>
        <v>8</v>
      </c>
      <c r="L3">
        <f t="shared" ref="L3:L11" si="5">G3*6</f>
        <v>12</v>
      </c>
    </row>
    <row r="4" spans="1:12" x14ac:dyDescent="0.3">
      <c r="A4" t="s">
        <v>9</v>
      </c>
      <c r="B4">
        <v>200</v>
      </c>
      <c r="C4">
        <v>6</v>
      </c>
      <c r="D4">
        <f>B4/C4</f>
        <v>33.333333333333336</v>
      </c>
      <c r="F4">
        <v>3</v>
      </c>
      <c r="G4">
        <f t="shared" si="0"/>
        <v>2.6999999999999997</v>
      </c>
      <c r="H4">
        <f t="shared" si="1"/>
        <v>4.05</v>
      </c>
      <c r="I4">
        <f t="shared" si="2"/>
        <v>5.3999999999999995</v>
      </c>
      <c r="J4">
        <f t="shared" si="3"/>
        <v>8.1</v>
      </c>
      <c r="K4">
        <f t="shared" si="4"/>
        <v>10.799999999999999</v>
      </c>
      <c r="L4">
        <f t="shared" si="5"/>
        <v>16.2</v>
      </c>
    </row>
    <row r="5" spans="1:12" x14ac:dyDescent="0.3">
      <c r="A5" t="s">
        <v>9</v>
      </c>
      <c r="B5">
        <v>400</v>
      </c>
      <c r="C5">
        <v>6</v>
      </c>
      <c r="D5">
        <f>B5/C5</f>
        <v>66.666666666666671</v>
      </c>
      <c r="F5">
        <v>3</v>
      </c>
      <c r="G5">
        <f t="shared" si="0"/>
        <v>1.3499999999999999</v>
      </c>
      <c r="H5">
        <f t="shared" si="1"/>
        <v>2.0249999999999999</v>
      </c>
      <c r="I5">
        <f t="shared" si="2"/>
        <v>2.6999999999999997</v>
      </c>
      <c r="J5">
        <f t="shared" si="3"/>
        <v>4.05</v>
      </c>
      <c r="K5">
        <f t="shared" si="4"/>
        <v>5.3999999999999995</v>
      </c>
      <c r="L5">
        <f t="shared" si="5"/>
        <v>8.1</v>
      </c>
    </row>
    <row r="6" spans="1:12" x14ac:dyDescent="0.3">
      <c r="A6" t="s">
        <v>6</v>
      </c>
      <c r="B6">
        <v>50</v>
      </c>
      <c r="C6">
        <v>1</v>
      </c>
      <c r="D6">
        <f t="shared" ref="D6:D11" si="6">B6/C6</f>
        <v>50</v>
      </c>
      <c r="F6">
        <v>1</v>
      </c>
      <c r="G6">
        <f t="shared" si="0"/>
        <v>0.6</v>
      </c>
      <c r="H6">
        <f t="shared" si="1"/>
        <v>0.89999999999999991</v>
      </c>
      <c r="I6">
        <f t="shared" si="2"/>
        <v>1.2</v>
      </c>
      <c r="J6">
        <f t="shared" si="3"/>
        <v>1.7999999999999998</v>
      </c>
      <c r="K6">
        <f t="shared" si="4"/>
        <v>2.4</v>
      </c>
      <c r="L6">
        <f t="shared" si="5"/>
        <v>3.5999999999999996</v>
      </c>
    </row>
    <row r="7" spans="1:12" x14ac:dyDescent="0.3">
      <c r="A7" t="s">
        <v>5</v>
      </c>
      <c r="B7">
        <v>500</v>
      </c>
      <c r="C7">
        <v>15</v>
      </c>
      <c r="D7">
        <f t="shared" si="6"/>
        <v>33.333333333333336</v>
      </c>
      <c r="F7">
        <v>2</v>
      </c>
      <c r="G7">
        <f t="shared" si="0"/>
        <v>1.7999999999999998</v>
      </c>
      <c r="H7">
        <f t="shared" si="1"/>
        <v>2.6999999999999997</v>
      </c>
      <c r="I7">
        <f t="shared" si="2"/>
        <v>3.5999999999999996</v>
      </c>
      <c r="J7">
        <f t="shared" si="3"/>
        <v>5.3999999999999995</v>
      </c>
      <c r="K7">
        <f t="shared" si="4"/>
        <v>7.1999999999999993</v>
      </c>
      <c r="L7">
        <f t="shared" si="5"/>
        <v>10.799999999999999</v>
      </c>
    </row>
    <row r="8" spans="1:12" x14ac:dyDescent="0.3">
      <c r="A8" t="s">
        <v>4</v>
      </c>
      <c r="B8">
        <v>200</v>
      </c>
      <c r="C8">
        <v>6.7</v>
      </c>
      <c r="D8">
        <f t="shared" si="6"/>
        <v>29.850746268656717</v>
      </c>
      <c r="F8">
        <v>1</v>
      </c>
      <c r="G8">
        <f t="shared" si="0"/>
        <v>1.0049999999999999</v>
      </c>
      <c r="H8">
        <f t="shared" si="1"/>
        <v>1.5074999999999998</v>
      </c>
      <c r="I8">
        <f t="shared" si="2"/>
        <v>2.0099999999999998</v>
      </c>
      <c r="J8">
        <f t="shared" si="3"/>
        <v>3.0149999999999997</v>
      </c>
      <c r="K8">
        <f t="shared" si="4"/>
        <v>4.0199999999999996</v>
      </c>
      <c r="L8">
        <f t="shared" si="5"/>
        <v>6.0299999999999994</v>
      </c>
    </row>
    <row r="9" spans="1:12" x14ac:dyDescent="0.3">
      <c r="A9" t="s">
        <v>3</v>
      </c>
      <c r="B9">
        <v>500</v>
      </c>
      <c r="C9">
        <v>27</v>
      </c>
      <c r="D9">
        <f t="shared" si="6"/>
        <v>18.518518518518519</v>
      </c>
      <c r="F9">
        <v>2</v>
      </c>
      <c r="G9">
        <f t="shared" si="0"/>
        <v>3.2399999999999998</v>
      </c>
      <c r="H9">
        <f t="shared" si="1"/>
        <v>4.8599999999999994</v>
      </c>
      <c r="I9">
        <f t="shared" si="2"/>
        <v>6.4799999999999995</v>
      </c>
      <c r="J9">
        <f t="shared" si="3"/>
        <v>9.7199999999999989</v>
      </c>
      <c r="K9">
        <f t="shared" si="4"/>
        <v>12.959999999999999</v>
      </c>
      <c r="L9">
        <f t="shared" si="5"/>
        <v>19.439999999999998</v>
      </c>
    </row>
    <row r="10" spans="1:12" x14ac:dyDescent="0.3">
      <c r="A10" t="s">
        <v>7</v>
      </c>
      <c r="B10">
        <v>300</v>
      </c>
      <c r="C10">
        <v>10</v>
      </c>
      <c r="D10">
        <f t="shared" si="6"/>
        <v>30</v>
      </c>
      <c r="F10">
        <v>1</v>
      </c>
      <c r="G10">
        <f t="shared" si="0"/>
        <v>1</v>
      </c>
      <c r="H10">
        <f t="shared" si="1"/>
        <v>1.5</v>
      </c>
      <c r="I10">
        <f t="shared" si="2"/>
        <v>2</v>
      </c>
      <c r="J10">
        <f t="shared" si="3"/>
        <v>3</v>
      </c>
      <c r="K10">
        <f t="shared" si="4"/>
        <v>4</v>
      </c>
      <c r="L10">
        <f t="shared" si="5"/>
        <v>6</v>
      </c>
    </row>
    <row r="11" spans="1:12" x14ac:dyDescent="0.3">
      <c r="A11" t="s">
        <v>15</v>
      </c>
      <c r="B11">
        <v>90</v>
      </c>
      <c r="C11">
        <v>1</v>
      </c>
      <c r="D11">
        <f t="shared" si="6"/>
        <v>90</v>
      </c>
      <c r="F11">
        <v>3</v>
      </c>
      <c r="G11">
        <f t="shared" si="0"/>
        <v>1</v>
      </c>
      <c r="H11">
        <f t="shared" si="1"/>
        <v>1.5</v>
      </c>
      <c r="I11">
        <f t="shared" si="2"/>
        <v>2</v>
      </c>
      <c r="J11">
        <f t="shared" si="3"/>
        <v>3</v>
      </c>
      <c r="K11">
        <f t="shared" si="4"/>
        <v>4</v>
      </c>
      <c r="L11">
        <f t="shared" si="5"/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9E8A-1C74-4DAA-8438-8A890746DFB4}">
  <dimension ref="A1:P12"/>
  <sheetViews>
    <sheetView tabSelected="1" workbookViewId="0">
      <selection activeCell="K12" sqref="K12"/>
    </sheetView>
  </sheetViews>
  <sheetFormatPr defaultRowHeight="14.4" x14ac:dyDescent="0.3"/>
  <cols>
    <col min="1" max="1" width="32" customWidth="1"/>
    <col min="2" max="2" width="12" style="3" customWidth="1"/>
    <col min="5" max="5" width="16.77734375" customWidth="1"/>
    <col min="6" max="6" width="10.77734375" style="3" bestFit="1" customWidth="1"/>
    <col min="7" max="7" width="8.6640625" customWidth="1"/>
    <col min="8" max="8" width="1.33203125" customWidth="1"/>
    <col min="9" max="9" width="14.109375" bestFit="1" customWidth="1"/>
    <col min="10" max="10" width="14.77734375" customWidth="1"/>
    <col min="11" max="11" width="14.77734375" style="3" customWidth="1"/>
    <col min="12" max="12" width="13.44140625" customWidth="1"/>
    <col min="13" max="13" width="12.77734375" customWidth="1"/>
    <col min="14" max="15" width="11.21875" customWidth="1"/>
    <col min="16" max="16" width="12" customWidth="1"/>
  </cols>
  <sheetData>
    <row r="1" spans="1:16" x14ac:dyDescent="0.3">
      <c r="B1" s="2" t="s">
        <v>18</v>
      </c>
      <c r="C1" s="1" t="s">
        <v>1</v>
      </c>
      <c r="D1" s="1" t="s">
        <v>0</v>
      </c>
      <c r="E1" s="1" t="s">
        <v>2</v>
      </c>
      <c r="F1" s="4" t="s">
        <v>26</v>
      </c>
      <c r="G1" s="1" t="s">
        <v>19</v>
      </c>
      <c r="H1" s="1"/>
      <c r="I1" s="1" t="s">
        <v>10</v>
      </c>
      <c r="J1" s="1" t="s">
        <v>11</v>
      </c>
      <c r="K1" s="4" t="s">
        <v>27</v>
      </c>
      <c r="L1" s="1" t="s">
        <v>17</v>
      </c>
      <c r="M1" s="1" t="s">
        <v>16</v>
      </c>
      <c r="N1" s="1" t="s">
        <v>12</v>
      </c>
      <c r="O1" s="1" t="s">
        <v>14</v>
      </c>
      <c r="P1" s="1" t="s">
        <v>13</v>
      </c>
    </row>
    <row r="2" spans="1:16" x14ac:dyDescent="0.3">
      <c r="A2" t="s">
        <v>8</v>
      </c>
      <c r="B2" s="3">
        <v>113.48</v>
      </c>
      <c r="C2">
        <v>550</v>
      </c>
      <c r="D2">
        <v>25</v>
      </c>
      <c r="E2">
        <f>C2/D2</f>
        <v>22</v>
      </c>
      <c r="F2" s="5">
        <f>B2/E2</f>
        <v>5.1581818181818182</v>
      </c>
      <c r="G2">
        <v>8.6999999999999993</v>
      </c>
      <c r="I2">
        <v>2</v>
      </c>
      <c r="J2">
        <f>30/(E2/I2)</f>
        <v>2.7272727272727271</v>
      </c>
      <c r="K2" s="5">
        <f>B2*J2</f>
        <v>309.4909090909091</v>
      </c>
      <c r="L2">
        <f>J2*1.5</f>
        <v>4.0909090909090908</v>
      </c>
      <c r="M2">
        <f>J2*2</f>
        <v>5.4545454545454541</v>
      </c>
      <c r="N2">
        <f>J2*3</f>
        <v>8.1818181818181817</v>
      </c>
      <c r="O2">
        <f>J2*4</f>
        <v>10.909090909090908</v>
      </c>
      <c r="P2">
        <f>J2*6</f>
        <v>16.363636363636363</v>
      </c>
    </row>
    <row r="3" spans="1:16" x14ac:dyDescent="0.3">
      <c r="A3" t="s">
        <v>9</v>
      </c>
      <c r="B3" s="3">
        <v>96.6</v>
      </c>
      <c r="C3">
        <v>240</v>
      </c>
      <c r="D3">
        <v>6</v>
      </c>
      <c r="E3">
        <f>C3/D3</f>
        <v>40</v>
      </c>
      <c r="F3" s="5">
        <f t="shared" ref="F3:F12" si="0">B3/E3</f>
        <v>2.415</v>
      </c>
      <c r="G3">
        <v>5</v>
      </c>
      <c r="I3">
        <v>3</v>
      </c>
      <c r="J3">
        <f t="shared" ref="J3:J8" si="1">30/(E3/I3)</f>
        <v>2.25</v>
      </c>
      <c r="K3" s="5">
        <f t="shared" ref="K3:K11" si="2">B3*J3</f>
        <v>217.35</v>
      </c>
      <c r="L3">
        <f t="shared" ref="L3:L12" si="3">J3*1.5</f>
        <v>3.375</v>
      </c>
      <c r="M3">
        <f t="shared" ref="M3:M8" si="4">J3*2</f>
        <v>4.5</v>
      </c>
      <c r="N3">
        <f t="shared" ref="N3:N8" si="5">J3*3</f>
        <v>6.75</v>
      </c>
      <c r="O3">
        <f t="shared" ref="O3:O8" si="6">J3*4</f>
        <v>9</v>
      </c>
      <c r="P3">
        <f t="shared" ref="P3:P8" si="7">J3*6</f>
        <v>13.5</v>
      </c>
    </row>
    <row r="4" spans="1:16" x14ac:dyDescent="0.3">
      <c r="A4" t="s">
        <v>24</v>
      </c>
      <c r="B4" s="3">
        <v>164.4</v>
      </c>
      <c r="C4">
        <v>102</v>
      </c>
      <c r="D4">
        <v>3.4</v>
      </c>
      <c r="E4">
        <f>C4/D4</f>
        <v>30</v>
      </c>
      <c r="F4" s="5">
        <f t="shared" si="0"/>
        <v>5.48</v>
      </c>
      <c r="G4">
        <v>0.1</v>
      </c>
      <c r="I4">
        <v>2</v>
      </c>
      <c r="J4">
        <f t="shared" si="1"/>
        <v>2</v>
      </c>
      <c r="K4" s="5">
        <f t="shared" si="2"/>
        <v>328.8</v>
      </c>
      <c r="L4">
        <f t="shared" si="3"/>
        <v>3</v>
      </c>
      <c r="M4">
        <f t="shared" si="4"/>
        <v>4</v>
      </c>
      <c r="N4">
        <f t="shared" si="5"/>
        <v>6</v>
      </c>
      <c r="O4">
        <f t="shared" si="6"/>
        <v>8</v>
      </c>
      <c r="P4">
        <f t="shared" si="7"/>
        <v>12</v>
      </c>
    </row>
    <row r="5" spans="1:16" x14ac:dyDescent="0.3">
      <c r="A5" t="s">
        <v>23</v>
      </c>
      <c r="B5" s="3">
        <v>122.11</v>
      </c>
      <c r="C5">
        <v>473</v>
      </c>
      <c r="D5">
        <v>15</v>
      </c>
      <c r="E5">
        <f>C5/D5</f>
        <v>31.533333333333335</v>
      </c>
      <c r="F5" s="5">
        <f t="shared" si="0"/>
        <v>3.8724101479915429</v>
      </c>
      <c r="I5">
        <v>2</v>
      </c>
      <c r="J5">
        <f t="shared" si="1"/>
        <v>1.9027484143763214</v>
      </c>
      <c r="K5" s="5">
        <f t="shared" si="2"/>
        <v>232.3446088794926</v>
      </c>
      <c r="L5">
        <f t="shared" si="3"/>
        <v>2.8541226215644819</v>
      </c>
      <c r="M5">
        <f t="shared" si="4"/>
        <v>3.8054968287526427</v>
      </c>
      <c r="N5">
        <f t="shared" si="5"/>
        <v>5.7082452431289639</v>
      </c>
      <c r="O5">
        <f t="shared" si="6"/>
        <v>7.6109936575052854</v>
      </c>
      <c r="P5">
        <f t="shared" si="7"/>
        <v>11.416490486257928</v>
      </c>
    </row>
    <row r="6" spans="1:16" x14ac:dyDescent="0.3">
      <c r="A6" t="s">
        <v>4</v>
      </c>
      <c r="B6" s="3">
        <v>108.65</v>
      </c>
      <c r="C6">
        <v>210</v>
      </c>
      <c r="D6">
        <v>7</v>
      </c>
      <c r="E6">
        <f>C6/D6</f>
        <v>30</v>
      </c>
      <c r="F6" s="5">
        <f t="shared" si="0"/>
        <v>3.621666666666667</v>
      </c>
      <c r="G6">
        <v>0.1</v>
      </c>
      <c r="I6">
        <v>2</v>
      </c>
      <c r="J6">
        <f t="shared" si="1"/>
        <v>2</v>
      </c>
      <c r="K6" s="5">
        <f t="shared" si="2"/>
        <v>217.3</v>
      </c>
      <c r="L6">
        <f t="shared" si="3"/>
        <v>3</v>
      </c>
      <c r="M6">
        <f t="shared" si="4"/>
        <v>4</v>
      </c>
      <c r="N6">
        <f t="shared" si="5"/>
        <v>6</v>
      </c>
      <c r="O6">
        <f t="shared" si="6"/>
        <v>8</v>
      </c>
      <c r="P6">
        <f t="shared" si="7"/>
        <v>12</v>
      </c>
    </row>
    <row r="7" spans="1:16" x14ac:dyDescent="0.3">
      <c r="A7" t="s">
        <v>22</v>
      </c>
      <c r="B7" s="3">
        <v>225.66</v>
      </c>
      <c r="C7">
        <v>150</v>
      </c>
      <c r="D7">
        <v>10</v>
      </c>
      <c r="E7">
        <f>C7/D7</f>
        <v>15</v>
      </c>
      <c r="F7" s="5">
        <f t="shared" si="0"/>
        <v>15.044</v>
      </c>
      <c r="I7">
        <v>2</v>
      </c>
      <c r="J7">
        <f t="shared" si="1"/>
        <v>4</v>
      </c>
      <c r="K7" s="5">
        <f t="shared" si="2"/>
        <v>902.64</v>
      </c>
      <c r="L7">
        <f t="shared" si="3"/>
        <v>6</v>
      </c>
      <c r="M7">
        <f t="shared" si="4"/>
        <v>8</v>
      </c>
      <c r="N7">
        <f t="shared" si="5"/>
        <v>12</v>
      </c>
      <c r="O7">
        <f t="shared" si="6"/>
        <v>16</v>
      </c>
      <c r="P7">
        <f t="shared" si="7"/>
        <v>24</v>
      </c>
    </row>
    <row r="8" spans="1:16" x14ac:dyDescent="0.3">
      <c r="A8" t="s">
        <v>15</v>
      </c>
      <c r="B8" s="3">
        <v>77.5</v>
      </c>
      <c r="C8">
        <v>90</v>
      </c>
      <c r="D8">
        <v>1</v>
      </c>
      <c r="E8">
        <f>C8/D8</f>
        <v>90</v>
      </c>
      <c r="F8" s="5">
        <f t="shared" si="0"/>
        <v>0.86111111111111116</v>
      </c>
      <c r="I8">
        <v>3</v>
      </c>
      <c r="J8">
        <f t="shared" si="1"/>
        <v>1</v>
      </c>
      <c r="K8" s="5">
        <f t="shared" si="2"/>
        <v>77.5</v>
      </c>
      <c r="L8">
        <f t="shared" si="3"/>
        <v>1.5</v>
      </c>
      <c r="M8">
        <f t="shared" si="4"/>
        <v>2</v>
      </c>
      <c r="N8">
        <f t="shared" si="5"/>
        <v>3</v>
      </c>
      <c r="O8">
        <f t="shared" si="6"/>
        <v>4</v>
      </c>
      <c r="P8">
        <f t="shared" si="7"/>
        <v>6</v>
      </c>
    </row>
    <row r="9" spans="1:16" x14ac:dyDescent="0.3">
      <c r="A9" t="s">
        <v>25</v>
      </c>
      <c r="B9" s="3">
        <v>69.8</v>
      </c>
      <c r="C9">
        <v>60</v>
      </c>
      <c r="D9">
        <v>2</v>
      </c>
      <c r="E9">
        <f>C9/D9</f>
        <v>30</v>
      </c>
      <c r="F9" s="5">
        <f t="shared" si="0"/>
        <v>2.3266666666666667</v>
      </c>
      <c r="I9">
        <v>1</v>
      </c>
      <c r="J9">
        <f t="shared" ref="J9" si="8">30/(E9/I9)</f>
        <v>1</v>
      </c>
      <c r="K9" s="5">
        <f t="shared" si="2"/>
        <v>69.8</v>
      </c>
      <c r="L9">
        <f t="shared" si="3"/>
        <v>1.5</v>
      </c>
      <c r="M9">
        <f t="shared" ref="M9" si="9">J9*2</f>
        <v>2</v>
      </c>
      <c r="N9">
        <f t="shared" ref="N9" si="10">J9*3</f>
        <v>3</v>
      </c>
      <c r="O9">
        <f t="shared" ref="O9" si="11">J9*4</f>
        <v>4</v>
      </c>
      <c r="P9">
        <f t="shared" ref="P9" si="12">J9*6</f>
        <v>6</v>
      </c>
    </row>
    <row r="10" spans="1:16" x14ac:dyDescent="0.3">
      <c r="A10" t="s">
        <v>20</v>
      </c>
      <c r="B10" s="3">
        <v>44.23</v>
      </c>
      <c r="C10">
        <v>10</v>
      </c>
      <c r="D10">
        <v>1</v>
      </c>
      <c r="E10">
        <f t="shared" ref="E10:E12" si="13">C10/D10</f>
        <v>10</v>
      </c>
      <c r="F10" s="5">
        <f t="shared" si="0"/>
        <v>4.423</v>
      </c>
      <c r="I10">
        <v>1</v>
      </c>
      <c r="J10">
        <f t="shared" ref="J10:J11" si="14">30/(E10/I10)</f>
        <v>3</v>
      </c>
      <c r="K10" s="5">
        <f t="shared" si="2"/>
        <v>132.69</v>
      </c>
      <c r="L10">
        <f t="shared" si="3"/>
        <v>4.5</v>
      </c>
      <c r="M10">
        <f t="shared" ref="M10:M11" si="15">J10*2</f>
        <v>6</v>
      </c>
      <c r="N10">
        <f t="shared" ref="N10:N11" si="16">J10*3</f>
        <v>9</v>
      </c>
      <c r="O10">
        <f t="shared" ref="O10:O11" si="17">J10*4</f>
        <v>12</v>
      </c>
      <c r="P10">
        <f t="shared" ref="P10:P11" si="18">J10*6</f>
        <v>18</v>
      </c>
    </row>
    <row r="11" spans="1:16" x14ac:dyDescent="0.3">
      <c r="A11" t="s">
        <v>21</v>
      </c>
      <c r="B11" s="3">
        <v>111.96</v>
      </c>
      <c r="C11">
        <v>60</v>
      </c>
      <c r="D11">
        <v>1</v>
      </c>
      <c r="E11">
        <f t="shared" si="13"/>
        <v>60</v>
      </c>
      <c r="F11" s="5">
        <f t="shared" si="0"/>
        <v>1.8659999999999999</v>
      </c>
      <c r="I11">
        <v>9</v>
      </c>
      <c r="J11">
        <f t="shared" si="14"/>
        <v>4.5</v>
      </c>
      <c r="K11" s="5">
        <f t="shared" si="2"/>
        <v>503.82</v>
      </c>
      <c r="L11">
        <f t="shared" si="3"/>
        <v>6.75</v>
      </c>
      <c r="M11">
        <f t="shared" si="15"/>
        <v>9</v>
      </c>
      <c r="N11">
        <f t="shared" si="16"/>
        <v>13.5</v>
      </c>
      <c r="O11">
        <f t="shared" si="17"/>
        <v>18</v>
      </c>
      <c r="P11">
        <f t="shared" si="18"/>
        <v>27</v>
      </c>
    </row>
    <row r="12" spans="1:16" x14ac:dyDescent="0.3">
      <c r="A12" t="s">
        <v>28</v>
      </c>
      <c r="B12" s="3">
        <v>199.12</v>
      </c>
      <c r="C12">
        <v>300</v>
      </c>
      <c r="D12">
        <v>10</v>
      </c>
      <c r="E12">
        <f t="shared" si="13"/>
        <v>30</v>
      </c>
      <c r="F12" s="5">
        <f t="shared" si="0"/>
        <v>6.6373333333333333</v>
      </c>
      <c r="I12">
        <v>2</v>
      </c>
      <c r="J12">
        <f t="shared" ref="J12" si="19">30/(E12/I12)</f>
        <v>2</v>
      </c>
      <c r="K12" s="5">
        <f t="shared" ref="K12" si="20">B12*J12</f>
        <v>398.24</v>
      </c>
      <c r="L12">
        <f t="shared" si="3"/>
        <v>3</v>
      </c>
      <c r="M12">
        <f t="shared" ref="M12" si="21">J12*2</f>
        <v>4</v>
      </c>
      <c r="N12">
        <f t="shared" ref="N12" si="22">J12*3</f>
        <v>6</v>
      </c>
      <c r="O12">
        <f t="shared" ref="O12" si="23">J12*4</f>
        <v>8</v>
      </c>
      <c r="P12">
        <f t="shared" ref="P12" si="24">J12*6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</vt:lpstr>
      <vt:lpstr>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Chuen Yen Liew</dc:creator>
  <cp:lastModifiedBy>Chuen Yen Liew</cp:lastModifiedBy>
  <dcterms:created xsi:type="dcterms:W3CDTF">2026-04-12T09:15:51Z</dcterms:created>
  <dcterms:modified xsi:type="dcterms:W3CDTF">2026-04-12T10:51:48Z</dcterms:modified>
</cp:coreProperties>
</file>