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herbalife663-my.sharepoint.com/personal/nurulhudas_herbalife_com/Documents/Desktop/"/>
    </mc:Choice>
  </mc:AlternateContent>
  <xr:revisionPtr revIDLastSave="4" documentId="8_{856D4156-4608-4E24-A626-F576F2B22456}" xr6:coauthVersionLast="47" xr6:coauthVersionMax="47" xr10:uidLastSave="{F2F6DC11-7154-4D73-A708-784D10462287}"/>
  <workbookProtection workbookPassword="C4DC" lockStructure="1"/>
  <bookViews>
    <workbookView xWindow="-110" yWindow="-110" windowWidth="19420" windowHeight="11500" activeTab="1" xr2:uid="{00000000-000D-0000-FFFF-FFFF00000000}"/>
  </bookViews>
  <sheets>
    <sheet name="Order Form" sheetId="1" r:id="rId1"/>
    <sheet name="Price List" sheetId="2" r:id="rId2"/>
  </sheets>
  <definedNames>
    <definedName name="_xlnm._FilterDatabase" localSheetId="1" hidden="1">'Price List'!$A$2:$O$138</definedName>
    <definedName name="_xlnm.Print_Area" localSheetId="0">'Order Form'!$B$1:$M$67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K32" i="1"/>
  <c r="L32" i="1" l="1"/>
  <c r="J32" i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O52" i="1"/>
  <c r="P52" i="1" s="1"/>
  <c r="O53" i="1"/>
  <c r="O54" i="1"/>
  <c r="O55" i="1"/>
  <c r="P55" i="1" s="1"/>
  <c r="O56" i="1"/>
  <c r="P56" i="1" s="1"/>
  <c r="O57" i="1"/>
  <c r="P57" i="1" s="1"/>
  <c r="O58" i="1"/>
  <c r="O59" i="1"/>
  <c r="O32" i="1"/>
  <c r="P32" i="1" s="1"/>
  <c r="P59" i="1"/>
  <c r="P51" i="1"/>
  <c r="P53" i="1"/>
  <c r="P54" i="1"/>
  <c r="P58" i="1"/>
  <c r="P60" i="1" l="1"/>
  <c r="L60" i="1" s="1"/>
  <c r="L59" i="1" l="1"/>
  <c r="F61" i="1"/>
  <c r="L6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tc={4BDDAB0C-8C40-4BBB-A3DB-A1C35DFA4BE0}</author>
  </authors>
  <commentList>
    <comment ref="P30" authorId="0" shapeId="0" xr:uid="{4BDDAB0C-8C40-4BBB-A3DB-A1C35DFA4BE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freight calculation</t>
      </text>
    </comment>
  </commentList>
</comments>
</file>

<file path=xl/sharedStrings.xml><?xml version="1.0" encoding="utf-8"?>
<sst xmlns="http://schemas.openxmlformats.org/spreadsheetml/2006/main" count="309" uniqueCount="280">
  <si>
    <t>ORDER CALCULATION FORM - WEST MALAYSIA</t>
  </si>
  <si>
    <t xml:space="preserve">Herbalife Products Malaysia Sdn Bhd </t>
  </si>
  <si>
    <t>(603) 2706 9888</t>
  </si>
  <si>
    <t>199301027403 (282141-M) AJL No. 931586</t>
  </si>
  <si>
    <t xml:space="preserve">memberservices_my@herbalife.com </t>
  </si>
  <si>
    <t>Ground Floor Plaza See Hoy Chan</t>
  </si>
  <si>
    <t>Jalan Raja Chulan</t>
  </si>
  <si>
    <t>50200 Kuala Lumpur</t>
  </si>
  <si>
    <t>Order Month:</t>
  </si>
  <si>
    <t>DELIVERY METHOD</t>
  </si>
  <si>
    <t>PURCHASED BY</t>
  </si>
  <si>
    <t>SHIP TO (FOR DELIVERY ONLY)</t>
  </si>
  <si>
    <t>Name</t>
  </si>
  <si>
    <t>ID No.</t>
  </si>
  <si>
    <t>Address</t>
  </si>
  <si>
    <t>FULLY QUALIFIED SUPERVISOR</t>
  </si>
  <si>
    <t>Phone:</t>
  </si>
  <si>
    <t>PAYMENT INFORMATION - Wire transfer</t>
  </si>
  <si>
    <t>Month &amp; Year of Qualification</t>
  </si>
  <si>
    <t>Maybank (Herbalife Products Malaysia Sdn Bhd - Acc No: 5142 7123 2600)</t>
  </si>
  <si>
    <t>Month</t>
  </si>
  <si>
    <t>Year</t>
  </si>
  <si>
    <t>Amount Transfer</t>
  </si>
  <si>
    <t>QUALIFYING SUPERVISOR - TEMP 50%</t>
  </si>
  <si>
    <t>Name of Your Bank</t>
  </si>
  <si>
    <t>Date Transfer</t>
  </si>
  <si>
    <t>Time Transfer</t>
  </si>
  <si>
    <t>SHIPPING INSTRUCTION (FOR DELIVERY ONLY)</t>
  </si>
  <si>
    <t>Discount</t>
  </si>
  <si>
    <t xml:space="preserve">  * Total amount tabulated in this Email Order Form may vary from actual order tabulated from the system</t>
  </si>
  <si>
    <t>Stock No</t>
  </si>
  <si>
    <t>Product Name</t>
  </si>
  <si>
    <t>Total VP</t>
  </si>
  <si>
    <t>Unit Price</t>
  </si>
  <si>
    <t>Total Price</t>
  </si>
  <si>
    <t>Retail Price</t>
  </si>
  <si>
    <t>Total Retail</t>
  </si>
  <si>
    <t>Total Retail Price</t>
  </si>
  <si>
    <t>PLEASE COMPLETE FOR THIS ORDER</t>
  </si>
  <si>
    <t>Freight</t>
  </si>
  <si>
    <t>Volume Points for this order</t>
  </si>
  <si>
    <t>Total Amount Due</t>
  </si>
  <si>
    <t>Volume Points for previous orders</t>
  </si>
  <si>
    <t>Volume Points for this month</t>
  </si>
  <si>
    <t>Remark:</t>
  </si>
  <si>
    <t>Once the order is placed, no change can be made.</t>
  </si>
  <si>
    <t>Discount is not applicable to AOP &amp; Literature items.</t>
  </si>
  <si>
    <t>In case of any discrepancy, the decision of the Company will be final.</t>
  </si>
  <si>
    <t>Qty</t>
  </si>
  <si>
    <t>Volume Points</t>
  </si>
  <si>
    <t>Earn Base</t>
  </si>
  <si>
    <t>Earn Base
Disc calculation</t>
  </si>
  <si>
    <t>INNER NUTRITION/NUTRISI DALAMAN</t>
  </si>
  <si>
    <t>Core Nutrition/Nutrisi Utama</t>
  </si>
  <si>
    <t>4462</t>
  </si>
  <si>
    <t xml:space="preserve">Formula 1 - Banana Cream Flavour </t>
  </si>
  <si>
    <t>4465</t>
  </si>
  <si>
    <t>Formula 1 - Cafe Latte Flavour</t>
  </si>
  <si>
    <t>4466</t>
  </si>
  <si>
    <t>Formula 1 - Vanilla Cream Flavour</t>
  </si>
  <si>
    <t>4467</t>
  </si>
  <si>
    <t>Formula 1 - Cookie Crunch Flavour</t>
  </si>
  <si>
    <t>4468</t>
  </si>
  <si>
    <t>Formula 1 - Smooth Chocolate Flavour</t>
  </si>
  <si>
    <t>4470</t>
  </si>
  <si>
    <t>Formula 1 - Summer Berries Flavour</t>
  </si>
  <si>
    <t>072K</t>
  </si>
  <si>
    <t>Formula 1 Select</t>
  </si>
  <si>
    <t>0242</t>
  </si>
  <si>
    <t>Formula 3 - Blended Soy and Whey Protein Powder</t>
  </si>
  <si>
    <t>0105</t>
  </si>
  <si>
    <t>Tea Mix with Hibiscus - Original Flavour 51g</t>
  </si>
  <si>
    <t>0106</t>
  </si>
  <si>
    <t>Tea Mix with Hibiscus - Original Flavour 102g</t>
  </si>
  <si>
    <t>0190</t>
  </si>
  <si>
    <t>Tea Mix with Hibiscus - Peach Flavour 102g</t>
  </si>
  <si>
    <t>2121</t>
  </si>
  <si>
    <t>Tea Mix with Hibiscus - Honey Ginger Flavour 102g</t>
  </si>
  <si>
    <t>3115</t>
  </si>
  <si>
    <t>Multivitamins &amp; Minerals</t>
  </si>
  <si>
    <t>Weight Management Program Pack/ Pek Program Pengurusan Berat Badan</t>
  </si>
  <si>
    <t>(with additional 2 unit of same Formula 1 flavours/ dengan tambahan 2 unit perisa Formula 1 yang sama</t>
  </si>
  <si>
    <t>81Z8</t>
  </si>
  <si>
    <t>Weight Management Program - Basic / Asas / 基础</t>
  </si>
  <si>
    <t>81Z9</t>
  </si>
  <si>
    <t>Weight Management Program - Advanced / Lanjutan / 高级</t>
  </si>
  <si>
    <t>82Z0</t>
  </si>
  <si>
    <t>Weight Management Program - Ultimate / Terunggul / 终极</t>
  </si>
  <si>
    <t>Basic Weight Management/Pengurusan Berat Badan Asas</t>
  </si>
  <si>
    <t>Start Now Pack (F1 + F3 + Tea Mix Original Flavour 51g)</t>
  </si>
  <si>
    <t>50Z0</t>
  </si>
  <si>
    <t>Start Now Pack-Vanilla Cream Flavour</t>
  </si>
  <si>
    <t>50Z1</t>
  </si>
  <si>
    <t>Start Now Pack-Smooth Chocolate Flavour</t>
  </si>
  <si>
    <t>50Z2</t>
  </si>
  <si>
    <t>Start Now Pack-Summer Berries Flavour</t>
  </si>
  <si>
    <t>50Z3</t>
  </si>
  <si>
    <t>Start Now Pack-Banana Cream Flavour</t>
  </si>
  <si>
    <t>50Z4</t>
  </si>
  <si>
    <t>Start Now Pack-Cafe Latte Flavour</t>
  </si>
  <si>
    <t>50Z5</t>
  </si>
  <si>
    <t>Start Now Pack-Cookie Crunch Flavour</t>
  </si>
  <si>
    <t>Start Now Pack (F1 + F3 + Tea Mix Original Flavour 102g)</t>
  </si>
  <si>
    <t>50Z6</t>
  </si>
  <si>
    <t>50Z7</t>
  </si>
  <si>
    <t>50Z8</t>
  </si>
  <si>
    <t>50Z9</t>
  </si>
  <si>
    <t>51Z0</t>
  </si>
  <si>
    <t>51Z1</t>
  </si>
  <si>
    <t>Start Now Pack (F1 + F3 + Tea Mix Peach 102g)</t>
  </si>
  <si>
    <t>51Z2</t>
  </si>
  <si>
    <t>51Z3</t>
  </si>
  <si>
    <t>51Z4</t>
  </si>
  <si>
    <t>51Z5</t>
  </si>
  <si>
    <t>51Z6</t>
  </si>
  <si>
    <t>51Z7</t>
  </si>
  <si>
    <t>Energy and Fitness/Tenaga dan Kecergasan</t>
  </si>
  <si>
    <t>0077</t>
  </si>
  <si>
    <t>TC Formula</t>
  </si>
  <si>
    <t>0102</t>
  </si>
  <si>
    <t>N-R-G Guarana Powder Plus</t>
  </si>
  <si>
    <t>1463</t>
  </si>
  <si>
    <t>HERBALIFE24 CR7 Drive - Acai Berry Flavour</t>
  </si>
  <si>
    <t>1521</t>
  </si>
  <si>
    <t>HERBALIFE24 Formula 1 Sport - Vanilla Cream Flavour</t>
  </si>
  <si>
    <t>1459</t>
  </si>
  <si>
    <t>HERBALIFE24 RS Pro - Chocolate Flavour</t>
  </si>
  <si>
    <t>Digestive Health/Kesihatan Percernaan</t>
  </si>
  <si>
    <t>0006</t>
  </si>
  <si>
    <t>Herbal Aloe Concentrate Mix - Original Flavour</t>
  </si>
  <si>
    <t>1065</t>
  </si>
  <si>
    <t>Herbal Aloe Concentrate Mix - Mango Flavour</t>
  </si>
  <si>
    <t>2631</t>
  </si>
  <si>
    <t>Herbal Aloe Concentrate Mix - Mandarin Flavour</t>
  </si>
  <si>
    <t>2864</t>
  </si>
  <si>
    <t>Mixed Fibres with Inulin Powder Drink - Apple Flavour</t>
  </si>
  <si>
    <t>Heart Health/Kesihatan Jantung</t>
  </si>
  <si>
    <t>0032</t>
  </si>
  <si>
    <t>Garlic Plus</t>
  </si>
  <si>
    <t>0065</t>
  </si>
  <si>
    <t>Omega 3 Fish Oil with EPA &amp; DHA</t>
  </si>
  <si>
    <t>3150</t>
  </si>
  <si>
    <t>NW Formula</t>
  </si>
  <si>
    <t>General Health</t>
  </si>
  <si>
    <t>145K</t>
  </si>
  <si>
    <t>ImmuLift - Blackcurrant Flavour</t>
  </si>
  <si>
    <t>044K</t>
  </si>
  <si>
    <t>Herbal Retreat Powder</t>
  </si>
  <si>
    <t>Youthful Vitality/Daya Hidup Muda</t>
  </si>
  <si>
    <t>0020</t>
  </si>
  <si>
    <t>Calcium Plus</t>
  </si>
  <si>
    <t>0104</t>
  </si>
  <si>
    <t>Celactivo</t>
  </si>
  <si>
    <t>0056</t>
  </si>
  <si>
    <t>Collagen Plus Powder - Orange Flavour</t>
  </si>
  <si>
    <t>Healthy Snacks/Makanan Ringan Sihat</t>
  </si>
  <si>
    <t>012K</t>
  </si>
  <si>
    <t>High Protein Premix Coffee - Café Latte Flavour / Perisa Café Latte 金质咖啡 - 拿铁口味</t>
  </si>
  <si>
    <t>OUTER NUTRITION/NUTRISI LUARAN</t>
  </si>
  <si>
    <t>SKIN Facial Care/Penjagaan Muka</t>
  </si>
  <si>
    <t>0765</t>
  </si>
  <si>
    <t>Soothing Aloe Cleanser (For Normal to Dry Skin)</t>
  </si>
  <si>
    <t>0766</t>
  </si>
  <si>
    <t>Polishing Citrus Cleanser (For Normal to Oily Skin)</t>
  </si>
  <si>
    <t>0767</t>
  </si>
  <si>
    <t>Energizing Herbal Toner 50ml</t>
  </si>
  <si>
    <t>0891</t>
  </si>
  <si>
    <t>Energizing Herbal Toner 150ml</t>
  </si>
  <si>
    <t>0768</t>
  </si>
  <si>
    <t>Line Minimizing Serum</t>
  </si>
  <si>
    <t>0769</t>
  </si>
  <si>
    <t>0899</t>
  </si>
  <si>
    <t>Protective Moisturizer SPF 30PA+++</t>
  </si>
  <si>
    <t>0770</t>
  </si>
  <si>
    <t>Firming Eye Gel</t>
  </si>
  <si>
    <t>0771</t>
  </si>
  <si>
    <t>Hydrating Eye Cream</t>
  </si>
  <si>
    <t>0773</t>
  </si>
  <si>
    <t>Purifying Mint Clay Mask</t>
  </si>
  <si>
    <t>0774</t>
  </si>
  <si>
    <t>Replenishing Night Cream</t>
  </si>
  <si>
    <t>1492</t>
  </si>
  <si>
    <t>1496</t>
  </si>
  <si>
    <t>Basic Program - Normal to Oil Skin</t>
  </si>
  <si>
    <t>Facial Mask / Mask Muka / 面膜</t>
  </si>
  <si>
    <t>111K</t>
  </si>
  <si>
    <t>Vitamin Facial Mask Moisturizing</t>
  </si>
  <si>
    <t>Set of 5</t>
  </si>
  <si>
    <t>Body Care/Penjagaan Badan</t>
  </si>
  <si>
    <t>2561</t>
  </si>
  <si>
    <t>Herbalife Aloe Hand &amp; Body Wash</t>
  </si>
  <si>
    <t>2562</t>
  </si>
  <si>
    <t>Herbalife Aloe Soothing Gel</t>
  </si>
  <si>
    <t>2563</t>
  </si>
  <si>
    <t>Herbalife Aloe Hand &amp; Body Cream</t>
  </si>
  <si>
    <t>Hair Care / Penjagaan Rambut</t>
  </si>
  <si>
    <t>2564</t>
  </si>
  <si>
    <t>Herbalife Aloe Strenghtening Shampoo</t>
  </si>
  <si>
    <t>2565</t>
  </si>
  <si>
    <t>Herbalife Aloe Strenghtening Conditioner</t>
  </si>
  <si>
    <t>PRODUCT AND PROMOTION TOOLS/PERALATAN PRODUK DAN PROMOSI</t>
  </si>
  <si>
    <t>Preparation and Serve/Peralatan Penyediaan</t>
  </si>
  <si>
    <t>182A</t>
  </si>
  <si>
    <t xml:space="preserve">Measuring Spoon </t>
  </si>
  <si>
    <t>N/A</t>
  </si>
  <si>
    <t>297A</t>
  </si>
  <si>
    <t>Measuring Spoon - White (Metric) Set of 10</t>
  </si>
  <si>
    <t>295A</t>
  </si>
  <si>
    <t>HLN Improved Shaker Cup</t>
  </si>
  <si>
    <t>296A</t>
  </si>
  <si>
    <t>8443</t>
  </si>
  <si>
    <t>Straw Pack for 2 liter Water Bottle</t>
  </si>
  <si>
    <t>6B29</t>
  </si>
  <si>
    <t>1L Garden Green Tritan Water Bottle</t>
  </si>
  <si>
    <t>6B30</t>
  </si>
  <si>
    <t>2L Leaf Green Tritan Water Bottle</t>
  </si>
  <si>
    <t>Bags and Carrier/Beg dan Pembawa</t>
  </si>
  <si>
    <t>926N</t>
  </si>
  <si>
    <t>Go Green PP Woven Eco Bag</t>
  </si>
  <si>
    <t>BUSINESS TOOLS FOR MEMBERS/PERALATAN PERNIAGAAN UNTUK AHLI</t>
  </si>
  <si>
    <t>Business Processing Fees/Yuran Pemerosesan Perniagaan</t>
  </si>
  <si>
    <t>0909</t>
  </si>
  <si>
    <t>Supervisor's Annual Processing Fee</t>
  </si>
  <si>
    <t>9909</t>
  </si>
  <si>
    <t>Annual Distributor Services Fee</t>
  </si>
  <si>
    <t>9942</t>
  </si>
  <si>
    <t>BIZWORKS One Month Subscription / Langganan BIZWORKS Selama Sebulan / BIZWORKS 一个月订阅</t>
  </si>
  <si>
    <t>HDP &amp; Forms/HDP &amp; Borang</t>
  </si>
  <si>
    <t>H351</t>
  </si>
  <si>
    <t>Herbalife Distributor Pack HDP (ENG)</t>
  </si>
  <si>
    <t>H352</t>
  </si>
  <si>
    <t>Herbalife Distributor Pack HDP (BM) / Pek Pengedar Herbalife</t>
  </si>
  <si>
    <t>H353</t>
  </si>
  <si>
    <t>Herbalife Distributor Pack HDP (中文) / 经销商套装</t>
  </si>
  <si>
    <t>Product Brochures&amp; Literatures/Brosur Produk &amp; Bahan Baca</t>
  </si>
  <si>
    <t>5174</t>
  </si>
  <si>
    <t>Product Catalog (Eng)</t>
  </si>
  <si>
    <t>5175</t>
  </si>
  <si>
    <t>Product Catalog (BM)</t>
  </si>
  <si>
    <t>5176</t>
  </si>
  <si>
    <t>Product Catalog (中文)</t>
  </si>
  <si>
    <t>218K</t>
  </si>
  <si>
    <t>TurmeriX 336mg</t>
  </si>
  <si>
    <t>Mixed Fibres with Inulin Powder Drink - Original Flavour</t>
  </si>
  <si>
    <t>2865</t>
  </si>
  <si>
    <t>MALAYSIA DISTRIBUTOR</t>
  </si>
  <si>
    <t>Distributor Services Hotline</t>
  </si>
  <si>
    <t>Distributor Services Email</t>
  </si>
  <si>
    <t>Joint Health</t>
  </si>
  <si>
    <t>WEIGHT MANAGEMENT PROGRAM / Basic / Asas / 基础  
•2 x Formula 1 • 1 x Herbal Aloe Concentrate - Mandarin Flavour • 1 x Tea Mix with Hibiscus - Original Flavour - 51g</t>
  </si>
  <si>
    <t>3T32</t>
  </si>
  <si>
    <t>Formula 1 - Cafe Latte Flavour / Perisa Cafe Latte / 拿铁味</t>
  </si>
  <si>
    <t>3T33</t>
  </si>
  <si>
    <t>Formula 1 - Cookie Crunch Flavour / Perisa Cookie Crunch / 巧饼味</t>
  </si>
  <si>
    <t>3T34</t>
  </si>
  <si>
    <t>Formula 1 - Smooth Chocolate Flavour / Perisa Smooth Coklat / 顺滑巧克力味</t>
  </si>
  <si>
    <t>WEIGHT MANAGEMENT PROGRAM / Advanced / Lanjutan / 高级
•2 x Formula 1 • 1 x Formula 3 Blended Soy And Whey Protein Powder • 1 x Herbal Aloe Concentrate - Mandarin Flavour 
• 1 x Tea Mix with Hibiscus - Original Flavour - 51g</t>
  </si>
  <si>
    <t>3T35</t>
  </si>
  <si>
    <t>3T36</t>
  </si>
  <si>
    <t>3T37</t>
  </si>
  <si>
    <t>WEIGHT MANAGEMENT PROGRAM / Ultimate / Terunggul / 终极
•2 x Formula 1 • 1 x Formula 3 Blended Soy And Whey Protein Powder • 1 x Mixed Fibres With Inulin Powder- Apple Flavour 
• 1 x Herbal Aloe Concentrate - Mandarin Flavour • 1 x Tea Mix with Hibiscus - Original Flavour - 51g</t>
  </si>
  <si>
    <t>3T38</t>
  </si>
  <si>
    <t>3T39</t>
  </si>
  <si>
    <t>3T40</t>
  </si>
  <si>
    <t>Functional Pack / Pek Fungsian / 功能配套</t>
  </si>
  <si>
    <t>1T49</t>
  </si>
  <si>
    <r>
      <rPr>
        <b/>
        <sz val="8"/>
        <rFont val="Calibri"/>
        <family val="2"/>
        <scheme val="minor"/>
      </rPr>
      <t>Digestive+ 健康肠道配套 - Original Flavour</t>
    </r>
    <r>
      <rPr>
        <sz val="8"/>
        <rFont val="Calibri"/>
        <family val="2"/>
        <scheme val="minor"/>
      </rPr>
      <t xml:space="preserve">
1 x Mixed Fibres With Inulin Powder Drink - Original Flavour
1 x Herbal Aloe Concentrate Mix - Mandarin Flavour
1 x Mesh Bag - Green
1 x Info Card</t>
    </r>
  </si>
  <si>
    <t>1T50</t>
  </si>
  <si>
    <r>
      <rPr>
        <b/>
        <sz val="8"/>
        <rFont val="Calibri"/>
        <family val="2"/>
        <scheme val="minor"/>
      </rPr>
      <t>Digestive+ 健康肠道配套 - Apple Flavour</t>
    </r>
    <r>
      <rPr>
        <sz val="8"/>
        <rFont val="Calibri"/>
        <family val="2"/>
        <scheme val="minor"/>
      </rPr>
      <t xml:space="preserve">
1 x Mixed Fibres With Inulin Powder Drink - Apple Flavour
1 x Herbal Aloe Concentrate Mix - Mandarin Flavour
1 x Mesh Bag - Green
1 x Info Card</t>
    </r>
  </si>
  <si>
    <t>1T52</t>
  </si>
  <si>
    <r>
      <rPr>
        <b/>
        <sz val="8"/>
        <rFont val="Calibri"/>
        <family val="2"/>
        <scheme val="minor"/>
      </rPr>
      <t>DefenZ+ 免疫防护配套</t>
    </r>
    <r>
      <rPr>
        <sz val="8"/>
        <rFont val="Calibri"/>
        <family val="2"/>
        <scheme val="minor"/>
      </rPr>
      <t xml:space="preserve">
3 x Immulift
1 x Multivitamins &amp; Minerals
1 x Turmerix 336mg
1 x Mesh Bag - Purple
1 x Info Card</t>
    </r>
  </si>
  <si>
    <t>1T53</t>
  </si>
  <si>
    <r>
      <rPr>
        <b/>
        <sz val="8"/>
        <rFont val="Calibri"/>
        <family val="2"/>
        <scheme val="minor"/>
      </rPr>
      <t>Flow+ 循环顺畅配套</t>
    </r>
    <r>
      <rPr>
        <sz val="8"/>
        <rFont val="Calibri"/>
        <family val="2"/>
        <scheme val="minor"/>
      </rPr>
      <t xml:space="preserve">
1 x Omega 3 Fish Oil
1 x Niteworks
1 x Garlic Plus
1 x Mesh Bag - Red
1 x Info Card</t>
    </r>
  </si>
  <si>
    <t>1T55</t>
  </si>
  <si>
    <r>
      <rPr>
        <b/>
        <sz val="8"/>
        <rFont val="Calibri"/>
        <family val="2"/>
        <scheme val="minor"/>
      </rPr>
      <t>Glow+ 焕亮美颜配套</t>
    </r>
    <r>
      <rPr>
        <sz val="8"/>
        <rFont val="Calibri"/>
        <family val="2"/>
        <scheme val="minor"/>
      </rPr>
      <t xml:space="preserve">
1 x Collagen Plus Powder
1 x Celactivo
2 x Herbalife Moisturing Vitamin Mask
1 x Mesh Bag - Pink
1 x Info Card</t>
    </r>
  </si>
  <si>
    <t>1T56</t>
  </si>
  <si>
    <r>
      <rPr>
        <b/>
        <sz val="8"/>
        <rFont val="Calibri"/>
        <family val="2"/>
        <scheme val="minor"/>
      </rPr>
      <t>Flexi+ 活跃关节配套</t>
    </r>
    <r>
      <rPr>
        <sz val="8"/>
        <rFont val="Calibri"/>
        <family val="2"/>
        <scheme val="minor"/>
      </rPr>
      <t xml:space="preserve">
1 x Turmerix 336mg
1 x Omega 3 Fish Oil
1 x Collagen Plus Powder
1 x Calcium Plus
1 x Mesh Bag - Yellow
1 x Info Card</t>
    </r>
  </si>
  <si>
    <t>Malaysia Price List updated as of May 19, 2026</t>
  </si>
  <si>
    <t>Updated as of May 19, 2026</t>
  </si>
  <si>
    <t xml:space="preserve">Daily Glow Moisturizer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</si>
</sst>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000"/>
    <numFmt numFmtId="165" formatCode="[$-409]mmmm\ yyyy;@"/>
    <numFmt numFmtId="166" formatCode="0.0%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color indexed="10"/>
      <name val="Arial"/>
      <family val="2"/>
    </font>
    <font>
      <sz val="10"/>
      <color indexed="10"/>
      <name val="Arial"/>
      <family val="2"/>
    </font>
    <font>
      <b/>
      <i/>
      <sz val="12"/>
      <name val="Arial"/>
      <family val="2"/>
    </font>
    <font>
      <i/>
      <sz val="11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26" fillId="0" borderId="0" applyFont="0" applyFill="0" applyBorder="0" applyAlignment="0" applyProtection="0"/>
  </cellStyleXfs>
  <cellXfs count="201">
    <xf numFmtId="0" fontId="0" fillId="0" borderId="0" xfId="0"/>
    <xf numFmtId="0" fontId="1" fillId="3" borderId="0" xfId="3" applyFill="1"/>
    <xf numFmtId="0" fontId="0" fillId="3" borderId="0" xfId="0" applyFill="1"/>
    <xf numFmtId="0" fontId="11" fillId="3" borderId="0" xfId="3" applyFont="1" applyFill="1"/>
    <xf numFmtId="0" fontId="7" fillId="3" borderId="0" xfId="3" applyFont="1" applyFill="1"/>
    <xf numFmtId="0" fontId="12" fillId="3" borderId="0" xfId="0" applyFont="1" applyFill="1"/>
    <xf numFmtId="0" fontId="12" fillId="3" borderId="0" xfId="3" applyFont="1" applyFill="1"/>
    <xf numFmtId="0" fontId="3" fillId="3" borderId="0" xfId="3" applyFont="1" applyFill="1"/>
    <xf numFmtId="0" fontId="1" fillId="3" borderId="0" xfId="3" applyFill="1" applyAlignment="1">
      <alignment horizontal="left"/>
    </xf>
    <xf numFmtId="0" fontId="5" fillId="3" borderId="0" xfId="3" applyFont="1" applyFill="1"/>
    <xf numFmtId="0" fontId="9" fillId="3" borderId="0" xfId="3" applyFont="1" applyFill="1"/>
    <xf numFmtId="0" fontId="1" fillId="3" borderId="0" xfId="3" applyFill="1" applyProtection="1">
      <protection locked="0"/>
    </xf>
    <xf numFmtId="0" fontId="8" fillId="3" borderId="1" xfId="3" applyFont="1" applyFill="1" applyBorder="1" applyAlignment="1">
      <alignment vertical="center"/>
    </xf>
    <xf numFmtId="0" fontId="8" fillId="3" borderId="2" xfId="3" applyFont="1" applyFill="1" applyBorder="1" applyAlignment="1">
      <alignment horizontal="center" vertical="center"/>
    </xf>
    <xf numFmtId="0" fontId="1" fillId="3" borderId="0" xfId="3" applyFill="1" applyAlignment="1">
      <alignment vertical="center"/>
    </xf>
    <xf numFmtId="2" fontId="7" fillId="3" borderId="1" xfId="3" applyNumberFormat="1" applyFont="1" applyFill="1" applyBorder="1" applyAlignment="1">
      <alignment horizontal="center" vertical="center"/>
    </xf>
    <xf numFmtId="0" fontId="7" fillId="3" borderId="0" xfId="3" applyFont="1" applyFill="1" applyAlignment="1">
      <alignment vertical="center"/>
    </xf>
    <xf numFmtId="0" fontId="1" fillId="3" borderId="0" xfId="3" quotePrefix="1" applyFill="1" applyAlignment="1">
      <alignment vertical="center"/>
    </xf>
    <xf numFmtId="0" fontId="14" fillId="4" borderId="1" xfId="3" applyFont="1" applyFill="1" applyBorder="1" applyAlignment="1" applyProtection="1">
      <alignment horizontal="left" vertical="center" indent="1"/>
      <protection locked="0"/>
    </xf>
    <xf numFmtId="0" fontId="7" fillId="4" borderId="1" xfId="3" applyFont="1" applyFill="1" applyBorder="1" applyAlignment="1" applyProtection="1">
      <alignment horizontal="center" vertical="center"/>
      <protection locked="0"/>
    </xf>
    <xf numFmtId="0" fontId="0" fillId="3" borderId="1" xfId="0" applyFill="1" applyBorder="1"/>
    <xf numFmtId="2" fontId="0" fillId="3" borderId="1" xfId="0" applyNumberFormat="1" applyFill="1" applyBorder="1"/>
    <xf numFmtId="165" fontId="14" fillId="3" borderId="0" xfId="3" applyNumberFormat="1" applyFont="1" applyFill="1" applyAlignment="1" applyProtection="1">
      <alignment horizontal="center"/>
      <protection locked="0"/>
    </xf>
    <xf numFmtId="0" fontId="16" fillId="5" borderId="2" xfId="3" applyFont="1" applyFill="1" applyBorder="1" applyAlignment="1">
      <alignment vertical="center"/>
    </xf>
    <xf numFmtId="0" fontId="1" fillId="5" borderId="3" xfId="3" applyFill="1" applyBorder="1" applyAlignment="1">
      <alignment vertical="center"/>
    </xf>
    <xf numFmtId="0" fontId="15" fillId="5" borderId="4" xfId="3" applyFont="1" applyFill="1" applyBorder="1" applyAlignment="1">
      <alignment vertical="center"/>
    </xf>
    <xf numFmtId="0" fontId="2" fillId="5" borderId="0" xfId="3" applyFont="1" applyFill="1" applyAlignment="1">
      <alignment horizontal="left" vertical="center"/>
    </xf>
    <xf numFmtId="0" fontId="1" fillId="5" borderId="0" xfId="3" applyFill="1"/>
    <xf numFmtId="0" fontId="15" fillId="5" borderId="2" xfId="3" applyFont="1" applyFill="1" applyBorder="1" applyAlignment="1">
      <alignment vertical="center"/>
    </xf>
    <xf numFmtId="0" fontId="1" fillId="5" borderId="5" xfId="3" applyFill="1" applyBorder="1"/>
    <xf numFmtId="0" fontId="1" fillId="5" borderId="3" xfId="3" applyFill="1" applyBorder="1"/>
    <xf numFmtId="0" fontId="15" fillId="5" borderId="4" xfId="3" applyFont="1" applyFill="1" applyBorder="1"/>
    <xf numFmtId="0" fontId="2" fillId="5" borderId="0" xfId="3" applyFont="1" applyFill="1"/>
    <xf numFmtId="0" fontId="2" fillId="5" borderId="0" xfId="3" applyFont="1" applyFill="1" applyAlignment="1">
      <alignment horizontal="center"/>
    </xf>
    <xf numFmtId="0" fontId="1" fillId="5" borderId="0" xfId="3" applyFill="1" applyAlignment="1">
      <alignment vertical="center"/>
    </xf>
    <xf numFmtId="0" fontId="18" fillId="5" borderId="6" xfId="3" applyFont="1" applyFill="1" applyBorder="1" applyAlignment="1">
      <alignment vertical="center"/>
    </xf>
    <xf numFmtId="0" fontId="19" fillId="5" borderId="7" xfId="3" applyFont="1" applyFill="1" applyBorder="1" applyAlignment="1">
      <alignment vertical="center"/>
    </xf>
    <xf numFmtId="0" fontId="19" fillId="5" borderId="8" xfId="3" applyFont="1" applyFill="1" applyBorder="1" applyAlignment="1">
      <alignment vertical="center"/>
    </xf>
    <xf numFmtId="0" fontId="8" fillId="3" borderId="5" xfId="3" applyFont="1" applyFill="1" applyBorder="1" applyAlignment="1">
      <alignment horizontal="center" vertical="center"/>
    </xf>
    <xf numFmtId="4" fontId="17" fillId="0" borderId="0" xfId="3" applyNumberFormat="1" applyFont="1" applyAlignment="1" applyProtection="1">
      <alignment horizontal="center"/>
      <protection hidden="1"/>
    </xf>
    <xf numFmtId="4" fontId="17" fillId="0" borderId="1" xfId="3" applyNumberFormat="1" applyFont="1" applyBorder="1" applyAlignment="1" applyProtection="1">
      <alignment horizontal="center"/>
      <protection hidden="1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/>
    </xf>
    <xf numFmtId="164" fontId="20" fillId="0" borderId="1" xfId="3" applyNumberFormat="1" applyFont="1" applyBorder="1" applyAlignment="1" applyProtection="1">
      <alignment vertical="center" wrapText="1"/>
      <protection hidden="1"/>
    </xf>
    <xf numFmtId="164" fontId="20" fillId="0" borderId="1" xfId="3" applyNumberFormat="1" applyFont="1" applyBorder="1" applyAlignment="1" applyProtection="1">
      <alignment horizontal="center" vertical="center" wrapText="1"/>
      <protection hidden="1"/>
    </xf>
    <xf numFmtId="2" fontId="17" fillId="0" borderId="1" xfId="0" applyNumberFormat="1" applyFont="1" applyBorder="1"/>
    <xf numFmtId="1" fontId="17" fillId="0" borderId="1" xfId="0" applyNumberFormat="1" applyFont="1" applyBorder="1" applyAlignment="1">
      <alignment horizontal="center"/>
    </xf>
    <xf numFmtId="2" fontId="17" fillId="0" borderId="1" xfId="0" applyNumberFormat="1" applyFont="1" applyBorder="1" applyAlignment="1">
      <alignment wrapText="1"/>
    </xf>
    <xf numFmtId="1" fontId="17" fillId="0" borderId="0" xfId="0" applyNumberFormat="1" applyFont="1" applyAlignment="1">
      <alignment horizontal="center" vertical="center"/>
    </xf>
    <xf numFmtId="49" fontId="7" fillId="4" borderId="1" xfId="3" quotePrefix="1" applyNumberFormat="1" applyFont="1" applyFill="1" applyBorder="1" applyAlignment="1" applyProtection="1">
      <alignment horizontal="center" vertical="center"/>
      <protection locked="0" hidden="1"/>
    </xf>
    <xf numFmtId="49" fontId="17" fillId="0" borderId="1" xfId="0" quotePrefix="1" applyNumberFormat="1" applyFont="1" applyBorder="1" applyAlignment="1">
      <alignment horizontal="center" wrapText="1"/>
    </xf>
    <xf numFmtId="49" fontId="17" fillId="0" borderId="0" xfId="0" applyNumberFormat="1" applyFont="1" applyAlignment="1">
      <alignment horizontal="center"/>
    </xf>
    <xf numFmtId="0" fontId="21" fillId="3" borderId="0" xfId="0" applyFont="1" applyFill="1" applyAlignment="1">
      <alignment vertical="top"/>
    </xf>
    <xf numFmtId="49" fontId="17" fillId="0" borderId="2" xfId="0" quotePrefix="1" applyNumberFormat="1" applyFont="1" applyBorder="1" applyAlignment="1">
      <alignment horizontal="center" wrapText="1"/>
    </xf>
    <xf numFmtId="2" fontId="17" fillId="7" borderId="6" xfId="0" applyNumberFormat="1" applyFont="1" applyFill="1" applyBorder="1"/>
    <xf numFmtId="2" fontId="17" fillId="7" borderId="7" xfId="0" applyNumberFormat="1" applyFont="1" applyFill="1" applyBorder="1"/>
    <xf numFmtId="2" fontId="17" fillId="7" borderId="10" xfId="0" applyNumberFormat="1" applyFont="1" applyFill="1" applyBorder="1"/>
    <xf numFmtId="2" fontId="17" fillId="7" borderId="9" xfId="0" applyNumberFormat="1" applyFont="1" applyFill="1" applyBorder="1"/>
    <xf numFmtId="2" fontId="17" fillId="7" borderId="4" xfId="0" applyNumberFormat="1" applyFont="1" applyFill="1" applyBorder="1"/>
    <xf numFmtId="2" fontId="17" fillId="7" borderId="0" xfId="0" applyNumberFormat="1" applyFont="1" applyFill="1"/>
    <xf numFmtId="166" fontId="17" fillId="0" borderId="0" xfId="4" applyNumberFormat="1" applyFont="1" applyAlignment="1">
      <alignment horizontal="left"/>
    </xf>
    <xf numFmtId="49" fontId="17" fillId="0" borderId="12" xfId="0" quotePrefix="1" applyNumberFormat="1" applyFont="1" applyBorder="1" applyAlignment="1">
      <alignment horizontal="center" wrapText="1"/>
    </xf>
    <xf numFmtId="2" fontId="17" fillId="0" borderId="12" xfId="0" applyNumberFormat="1" applyFont="1" applyBorder="1" applyAlignment="1">
      <alignment wrapText="1"/>
    </xf>
    <xf numFmtId="1" fontId="17" fillId="0" borderId="12" xfId="0" applyNumberFormat="1" applyFont="1" applyBorder="1" applyAlignment="1">
      <alignment horizontal="center"/>
    </xf>
    <xf numFmtId="2" fontId="17" fillId="0" borderId="12" xfId="0" applyNumberFormat="1" applyFont="1" applyBorder="1"/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49" fontId="17" fillId="0" borderId="11" xfId="0" quotePrefix="1" applyNumberFormat="1" applyFont="1" applyBorder="1" applyAlignment="1">
      <alignment horizontal="center" wrapText="1"/>
    </xf>
    <xf numFmtId="2" fontId="17" fillId="0" borderId="11" xfId="0" applyNumberFormat="1" applyFont="1" applyBorder="1" applyAlignment="1">
      <alignment wrapText="1"/>
    </xf>
    <xf numFmtId="1" fontId="17" fillId="0" borderId="11" xfId="0" applyNumberFormat="1" applyFont="1" applyBorder="1" applyAlignment="1">
      <alignment horizontal="center"/>
    </xf>
    <xf numFmtId="0" fontId="1" fillId="3" borderId="1" xfId="3" applyFill="1" applyBorder="1"/>
    <xf numFmtId="49" fontId="7" fillId="4" borderId="1" xfId="0" quotePrefix="1" applyNumberFormat="1" applyFont="1" applyFill="1" applyBorder="1" applyAlignment="1">
      <alignment horizontal="center" wrapText="1"/>
    </xf>
    <xf numFmtId="2" fontId="17" fillId="0" borderId="1" xfId="0" applyNumberFormat="1" applyFont="1" applyBorder="1" applyAlignment="1">
      <alignment horizontal="center"/>
    </xf>
    <xf numFmtId="49" fontId="17" fillId="0" borderId="1" xfId="0" quotePrefix="1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right"/>
    </xf>
    <xf numFmtId="2" fontId="17" fillId="0" borderId="1" xfId="0" applyNumberFormat="1" applyFont="1" applyBorder="1" applyAlignment="1">
      <alignment horizontal="right"/>
    </xf>
    <xf numFmtId="2" fontId="17" fillId="7" borderId="1" xfId="0" applyNumberFormat="1" applyFont="1" applyFill="1" applyBorder="1"/>
    <xf numFmtId="0" fontId="17" fillId="2" borderId="3" xfId="3" applyFont="1" applyFill="1" applyBorder="1" applyAlignment="1" applyProtection="1">
      <alignment horizontal="center" vertical="center" wrapText="1"/>
      <protection hidden="1"/>
    </xf>
    <xf numFmtId="49" fontId="20" fillId="2" borderId="16" xfId="3" applyNumberFormat="1" applyFont="1" applyFill="1" applyBorder="1" applyAlignment="1" applyProtection="1">
      <alignment horizontal="center" vertical="center" wrapText="1"/>
      <protection hidden="1"/>
    </xf>
    <xf numFmtId="0" fontId="20" fillId="2" borderId="17" xfId="3" applyFont="1" applyFill="1" applyBorder="1" applyAlignment="1" applyProtection="1">
      <alignment horizontal="center" vertical="center" wrapText="1"/>
      <protection hidden="1"/>
    </xf>
    <xf numFmtId="1" fontId="20" fillId="2" borderId="17" xfId="3" applyNumberFormat="1" applyFont="1" applyFill="1" applyBorder="1" applyAlignment="1" applyProtection="1">
      <alignment horizontal="center" vertical="center"/>
      <protection hidden="1"/>
    </xf>
    <xf numFmtId="0" fontId="20" fillId="6" borderId="17" xfId="3" applyFont="1" applyFill="1" applyBorder="1" applyAlignment="1" applyProtection="1">
      <alignment horizontal="center" vertical="center" wrapText="1"/>
      <protection hidden="1"/>
    </xf>
    <xf numFmtId="0" fontId="20" fillId="6" borderId="17" xfId="3" applyFont="1" applyFill="1" applyBorder="1" applyAlignment="1" applyProtection="1">
      <alignment horizontal="center" vertical="center"/>
      <protection hidden="1"/>
    </xf>
    <xf numFmtId="9" fontId="20" fillId="6" borderId="17" xfId="3" applyNumberFormat="1" applyFont="1" applyFill="1" applyBorder="1" applyAlignment="1" applyProtection="1">
      <alignment horizontal="center" vertical="center" wrapText="1"/>
      <protection hidden="1"/>
    </xf>
    <xf numFmtId="9" fontId="20" fillId="6" borderId="18" xfId="3" applyNumberFormat="1" applyFont="1" applyFill="1" applyBorder="1" applyAlignment="1" applyProtection="1">
      <alignment horizontal="center" vertical="center" wrapText="1"/>
      <protection hidden="1"/>
    </xf>
    <xf numFmtId="0" fontId="4" fillId="3" borderId="0" xfId="2" applyFill="1" applyAlignment="1" applyProtection="1">
      <alignment horizontal="center"/>
    </xf>
    <xf numFmtId="0" fontId="7" fillId="3" borderId="2" xfId="3" applyFont="1" applyFill="1" applyBorder="1" applyAlignment="1">
      <alignment vertical="center"/>
    </xf>
    <xf numFmtId="0" fontId="7" fillId="3" borderId="5" xfId="3" applyFont="1" applyFill="1" applyBorder="1" applyAlignment="1">
      <alignment vertical="center"/>
    </xf>
    <xf numFmtId="0" fontId="7" fillId="3" borderId="3" xfId="3" applyFont="1" applyFill="1" applyBorder="1" applyAlignment="1">
      <alignment vertical="center"/>
    </xf>
    <xf numFmtId="49" fontId="14" fillId="4" borderId="1" xfId="3" applyNumberFormat="1" applyFont="1" applyFill="1" applyBorder="1" applyAlignment="1" applyProtection="1">
      <alignment horizontal="left" vertical="center" indent="1"/>
      <protection locked="0"/>
    </xf>
    <xf numFmtId="49" fontId="14" fillId="4" borderId="2" xfId="3" applyNumberFormat="1" applyFont="1" applyFill="1" applyBorder="1" applyAlignment="1" applyProtection="1">
      <alignment horizontal="left" vertical="center" indent="1"/>
      <protection locked="0"/>
    </xf>
    <xf numFmtId="0" fontId="22" fillId="5" borderId="0" xfId="3" applyFont="1" applyFill="1" applyAlignment="1">
      <alignment horizontal="right" vertical="center"/>
    </xf>
    <xf numFmtId="0" fontId="23" fillId="5" borderId="0" xfId="3" applyFont="1" applyFill="1" applyAlignment="1">
      <alignment horizontal="right" vertical="center"/>
    </xf>
    <xf numFmtId="0" fontId="24" fillId="5" borderId="0" xfId="3" applyFont="1" applyFill="1" applyAlignment="1">
      <alignment horizontal="right" vertical="center"/>
    </xf>
    <xf numFmtId="0" fontId="25" fillId="5" borderId="0" xfId="3" applyFont="1" applyFill="1" applyAlignment="1">
      <alignment horizontal="right" vertical="center"/>
    </xf>
    <xf numFmtId="165" fontId="14" fillId="4" borderId="2" xfId="3" applyNumberFormat="1" applyFont="1" applyFill="1" applyBorder="1" applyAlignment="1" applyProtection="1">
      <alignment horizontal="center" vertical="center"/>
      <protection locked="0"/>
    </xf>
    <xf numFmtId="165" fontId="14" fillId="4" borderId="3" xfId="3" applyNumberFormat="1" applyFont="1" applyFill="1" applyBorder="1" applyAlignment="1" applyProtection="1">
      <alignment horizontal="center" vertical="center"/>
      <protection locked="0"/>
    </xf>
    <xf numFmtId="0" fontId="1" fillId="3" borderId="0" xfId="3" applyFill="1" applyAlignment="1">
      <alignment horizontal="center"/>
    </xf>
    <xf numFmtId="0" fontId="8" fillId="3" borderId="6" xfId="3" applyFont="1" applyFill="1" applyBorder="1" applyAlignment="1">
      <alignment vertical="center"/>
    </xf>
    <xf numFmtId="0" fontId="8" fillId="3" borderId="7" xfId="3" applyFont="1" applyFill="1" applyBorder="1" applyAlignment="1">
      <alignment vertical="center"/>
    </xf>
    <xf numFmtId="0" fontId="8" fillId="3" borderId="8" xfId="3" applyFont="1" applyFill="1" applyBorder="1" applyAlignment="1">
      <alignment vertical="center"/>
    </xf>
    <xf numFmtId="0" fontId="8" fillId="3" borderId="10" xfId="3" applyFont="1" applyFill="1" applyBorder="1" applyAlignment="1">
      <alignment vertical="center"/>
    </xf>
    <xf numFmtId="0" fontId="8" fillId="3" borderId="9" xfId="3" applyFont="1" applyFill="1" applyBorder="1" applyAlignment="1">
      <alignment vertical="center"/>
    </xf>
    <xf numFmtId="0" fontId="8" fillId="3" borderId="13" xfId="3" applyFont="1" applyFill="1" applyBorder="1" applyAlignment="1">
      <alignment vertical="center"/>
    </xf>
    <xf numFmtId="0" fontId="14" fillId="4" borderId="1" xfId="3" applyFont="1" applyFill="1" applyBorder="1" applyAlignment="1" applyProtection="1">
      <alignment horizontal="left" vertical="center" indent="1"/>
      <protection locked="0"/>
    </xf>
    <xf numFmtId="0" fontId="14" fillId="4" borderId="2" xfId="3" applyFont="1" applyFill="1" applyBorder="1" applyAlignment="1" applyProtection="1">
      <alignment horizontal="left" vertical="center" indent="1"/>
      <protection locked="0"/>
    </xf>
    <xf numFmtId="0" fontId="1" fillId="3" borderId="2" xfId="3" applyFill="1" applyBorder="1" applyAlignment="1">
      <alignment horizontal="center" vertical="center"/>
    </xf>
    <xf numFmtId="0" fontId="1" fillId="3" borderId="3" xfId="3" applyFill="1" applyBorder="1" applyAlignment="1">
      <alignment horizontal="center" vertical="center"/>
    </xf>
    <xf numFmtId="0" fontId="1" fillId="3" borderId="2" xfId="3" applyFill="1" applyBorder="1" applyAlignment="1">
      <alignment horizontal="center"/>
    </xf>
    <xf numFmtId="0" fontId="1" fillId="3" borderId="8" xfId="3" applyFill="1" applyBorder="1" applyAlignment="1">
      <alignment horizontal="center"/>
    </xf>
    <xf numFmtId="0" fontId="2" fillId="3" borderId="2" xfId="3" applyFont="1" applyFill="1" applyBorder="1" applyAlignment="1">
      <alignment horizontal="center" vertical="center"/>
    </xf>
    <xf numFmtId="0" fontId="2" fillId="3" borderId="5" xfId="3" applyFont="1" applyFill="1" applyBorder="1" applyAlignment="1">
      <alignment horizontal="center" vertical="center"/>
    </xf>
    <xf numFmtId="0" fontId="15" fillId="5" borderId="2" xfId="3" applyFont="1" applyFill="1" applyBorder="1" applyAlignment="1">
      <alignment horizontal="left" vertical="center"/>
    </xf>
    <xf numFmtId="0" fontId="15" fillId="5" borderId="5" xfId="3" applyFont="1" applyFill="1" applyBorder="1" applyAlignment="1">
      <alignment horizontal="left" vertical="center"/>
    </xf>
    <xf numFmtId="0" fontId="15" fillId="5" borderId="3" xfId="3" applyFont="1" applyFill="1" applyBorder="1" applyAlignment="1">
      <alignment horizontal="left" vertical="center"/>
    </xf>
    <xf numFmtId="0" fontId="1" fillId="3" borderId="1" xfId="3" applyFill="1" applyBorder="1" applyAlignment="1">
      <alignment horizontal="center"/>
    </xf>
    <xf numFmtId="0" fontId="1" fillId="3" borderId="6" xfId="3" applyFill="1" applyBorder="1" applyAlignment="1">
      <alignment horizontal="center" vertical="center"/>
    </xf>
    <xf numFmtId="0" fontId="1" fillId="3" borderId="7" xfId="3" applyFill="1" applyBorder="1" applyAlignment="1">
      <alignment horizontal="center" vertical="center"/>
    </xf>
    <xf numFmtId="0" fontId="15" fillId="5" borderId="6" xfId="3" applyFont="1" applyFill="1" applyBorder="1" applyAlignment="1">
      <alignment horizontal="left" vertical="center"/>
    </xf>
    <xf numFmtId="0" fontId="15" fillId="5" borderId="7" xfId="3" applyFont="1" applyFill="1" applyBorder="1" applyAlignment="1">
      <alignment horizontal="left" vertical="center"/>
    </xf>
    <xf numFmtId="0" fontId="15" fillId="5" borderId="10" xfId="3" applyFont="1" applyFill="1" applyBorder="1" applyAlignment="1">
      <alignment horizontal="left" vertical="center"/>
    </xf>
    <xf numFmtId="0" fontId="15" fillId="5" borderId="9" xfId="3" applyFont="1" applyFill="1" applyBorder="1" applyAlignment="1">
      <alignment horizontal="left" vertical="center"/>
    </xf>
    <xf numFmtId="0" fontId="8" fillId="5" borderId="1" xfId="3" applyFont="1" applyFill="1" applyBorder="1" applyAlignment="1">
      <alignment horizontal="center" vertical="center"/>
    </xf>
    <xf numFmtId="0" fontId="8" fillId="3" borderId="1" xfId="3" applyFont="1" applyFill="1" applyBorder="1" applyAlignment="1">
      <alignment horizontal="center" vertical="center"/>
    </xf>
    <xf numFmtId="0" fontId="8" fillId="3" borderId="11" xfId="3" applyFont="1" applyFill="1" applyBorder="1" applyAlignment="1">
      <alignment horizontal="center" vertical="center"/>
    </xf>
    <xf numFmtId="9" fontId="13" fillId="4" borderId="11" xfId="3" applyNumberFormat="1" applyFont="1" applyFill="1" applyBorder="1" applyAlignment="1" applyProtection="1">
      <alignment horizontal="center" vertical="center"/>
      <protection locked="0"/>
    </xf>
    <xf numFmtId="9" fontId="13" fillId="4" borderId="14" xfId="3" applyNumberFormat="1" applyFont="1" applyFill="1" applyBorder="1" applyAlignment="1" applyProtection="1">
      <alignment horizontal="center" vertical="center"/>
      <protection locked="0"/>
    </xf>
    <xf numFmtId="0" fontId="8" fillId="3" borderId="4" xfId="3" applyFont="1" applyFill="1" applyBorder="1" applyAlignment="1">
      <alignment vertical="center"/>
    </xf>
    <xf numFmtId="0" fontId="8" fillId="3" borderId="0" xfId="3" applyFont="1" applyFill="1"/>
    <xf numFmtId="0" fontId="8" fillId="3" borderId="4" xfId="3" applyFont="1" applyFill="1" applyBorder="1"/>
    <xf numFmtId="0" fontId="2" fillId="3" borderId="1" xfId="3" applyFont="1" applyFill="1" applyBorder="1" applyAlignment="1">
      <alignment horizontal="left" vertical="center"/>
    </xf>
    <xf numFmtId="0" fontId="2" fillId="3" borderId="2" xfId="3" applyFont="1" applyFill="1" applyBorder="1" applyAlignment="1">
      <alignment horizontal="left" vertical="center"/>
    </xf>
    <xf numFmtId="0" fontId="2" fillId="3" borderId="3" xfId="3" applyFont="1" applyFill="1" applyBorder="1" applyAlignment="1">
      <alignment horizontal="left" vertical="center"/>
    </xf>
    <xf numFmtId="0" fontId="2" fillId="8" borderId="2" xfId="3" applyFont="1" applyFill="1" applyBorder="1" applyAlignment="1">
      <alignment horizontal="left" vertical="center" wrapText="1"/>
    </xf>
    <xf numFmtId="0" fontId="2" fillId="8" borderId="5" xfId="3" applyFont="1" applyFill="1" applyBorder="1" applyAlignment="1">
      <alignment horizontal="left" vertical="center" wrapText="1"/>
    </xf>
    <xf numFmtId="0" fontId="2" fillId="8" borderId="3" xfId="3" applyFont="1" applyFill="1" applyBorder="1" applyAlignment="1">
      <alignment horizontal="left" vertical="center" wrapText="1"/>
    </xf>
    <xf numFmtId="0" fontId="8" fillId="3" borderId="0" xfId="3" applyFont="1" applyFill="1" applyAlignment="1">
      <alignment horizontal="right" vertical="center"/>
    </xf>
    <xf numFmtId="0" fontId="8" fillId="3" borderId="4" xfId="3" applyFont="1" applyFill="1" applyBorder="1" applyAlignment="1">
      <alignment horizontal="right" vertical="center"/>
    </xf>
    <xf numFmtId="2" fontId="7" fillId="3" borderId="1" xfId="3" applyNumberFormat="1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/>
    </xf>
    <xf numFmtId="2" fontId="7" fillId="3" borderId="1" xfId="3" quotePrefix="1" applyNumberFormat="1" applyFont="1" applyFill="1" applyBorder="1" applyAlignment="1">
      <alignment horizontal="center" vertical="center"/>
    </xf>
    <xf numFmtId="2" fontId="8" fillId="3" borderId="1" xfId="3" applyNumberFormat="1" applyFont="1" applyFill="1" applyBorder="1" applyAlignment="1">
      <alignment horizontal="center" vertical="center"/>
    </xf>
    <xf numFmtId="0" fontId="8" fillId="3" borderId="1" xfId="3" applyFont="1" applyFill="1" applyBorder="1" applyAlignment="1">
      <alignment horizontal="center"/>
    </xf>
    <xf numFmtId="0" fontId="7" fillId="3" borderId="0" xfId="3" applyFont="1" applyFill="1" applyAlignment="1">
      <alignment vertical="center"/>
    </xf>
    <xf numFmtId="0" fontId="7" fillId="3" borderId="1" xfId="3" applyFont="1" applyFill="1" applyBorder="1" applyAlignment="1">
      <alignment vertical="center"/>
    </xf>
    <xf numFmtId="49" fontId="14" fillId="3" borderId="10" xfId="3" applyNumberFormat="1" applyFont="1" applyFill="1" applyBorder="1" applyAlignment="1" applyProtection="1">
      <alignment horizontal="center" vertical="center"/>
      <protection locked="0"/>
    </xf>
    <xf numFmtId="49" fontId="14" fillId="3" borderId="9" xfId="3" applyNumberFormat="1" applyFont="1" applyFill="1" applyBorder="1" applyAlignment="1" applyProtection="1">
      <alignment horizontal="center" vertical="center"/>
      <protection locked="0"/>
    </xf>
    <xf numFmtId="49" fontId="14" fillId="3" borderId="3" xfId="3" applyNumberFormat="1" applyFont="1" applyFill="1" applyBorder="1" applyAlignment="1" applyProtection="1">
      <alignment horizontal="center" vertical="center"/>
      <protection locked="0"/>
    </xf>
    <xf numFmtId="0" fontId="14" fillId="4" borderId="6" xfId="3" applyFont="1" applyFill="1" applyBorder="1" applyAlignment="1" applyProtection="1">
      <alignment horizontal="center" vertical="center" wrapText="1"/>
      <protection locked="0"/>
    </xf>
    <xf numFmtId="0" fontId="14" fillId="4" borderId="7" xfId="3" applyFont="1" applyFill="1" applyBorder="1" applyAlignment="1" applyProtection="1">
      <alignment horizontal="center" vertical="center" wrapText="1"/>
      <protection locked="0"/>
    </xf>
    <xf numFmtId="0" fontId="14" fillId="4" borderId="8" xfId="3" applyFont="1" applyFill="1" applyBorder="1" applyAlignment="1" applyProtection="1">
      <alignment horizontal="center" vertical="center" wrapText="1"/>
      <protection locked="0"/>
    </xf>
    <xf numFmtId="0" fontId="14" fillId="4" borderId="10" xfId="3" applyFont="1" applyFill="1" applyBorder="1" applyAlignment="1" applyProtection="1">
      <alignment horizontal="center" vertical="center" wrapText="1"/>
      <protection locked="0"/>
    </xf>
    <xf numFmtId="0" fontId="14" fillId="4" borderId="9" xfId="3" applyFont="1" applyFill="1" applyBorder="1" applyAlignment="1" applyProtection="1">
      <alignment horizontal="center" vertical="center" wrapText="1"/>
      <protection locked="0"/>
    </xf>
    <xf numFmtId="0" fontId="14" fillId="4" borderId="13" xfId="3" applyFont="1" applyFill="1" applyBorder="1" applyAlignment="1" applyProtection="1">
      <alignment horizontal="center" vertical="center" wrapText="1"/>
      <protection locked="0"/>
    </xf>
    <xf numFmtId="0" fontId="6" fillId="3" borderId="1" xfId="3" applyFont="1" applyFill="1" applyBorder="1" applyAlignment="1">
      <alignment horizontal="center" vertical="center"/>
    </xf>
    <xf numFmtId="0" fontId="6" fillId="3" borderId="10" xfId="3" applyFont="1" applyFill="1" applyBorder="1" applyAlignment="1">
      <alignment horizontal="center" vertical="center"/>
    </xf>
    <xf numFmtId="0" fontId="6" fillId="3" borderId="9" xfId="3" applyFont="1" applyFill="1" applyBorder="1" applyAlignment="1">
      <alignment horizontal="center" vertical="center"/>
    </xf>
    <xf numFmtId="0" fontId="6" fillId="3" borderId="13" xfId="3" applyFont="1" applyFill="1" applyBorder="1" applyAlignment="1">
      <alignment horizontal="center" vertical="center"/>
    </xf>
    <xf numFmtId="0" fontId="2" fillId="3" borderId="10" xfId="3" applyFont="1" applyFill="1" applyBorder="1" applyAlignment="1">
      <alignment horizontal="left" vertical="center"/>
    </xf>
    <xf numFmtId="0" fontId="2" fillId="3" borderId="13" xfId="3" applyFont="1" applyFill="1" applyBorder="1" applyAlignment="1">
      <alignment horizontal="left" vertical="center"/>
    </xf>
    <xf numFmtId="0" fontId="8" fillId="3" borderId="1" xfId="3" applyFont="1" applyFill="1" applyBorder="1" applyAlignment="1">
      <alignment vertical="center"/>
    </xf>
    <xf numFmtId="2" fontId="7" fillId="3" borderId="2" xfId="3" applyNumberFormat="1" applyFont="1" applyFill="1" applyBorder="1" applyAlignment="1">
      <alignment horizontal="center" vertical="center"/>
    </xf>
    <xf numFmtId="2" fontId="7" fillId="3" borderId="3" xfId="3" applyNumberFormat="1" applyFont="1" applyFill="1" applyBorder="1" applyAlignment="1">
      <alignment horizontal="center" vertical="center"/>
    </xf>
    <xf numFmtId="2" fontId="10" fillId="3" borderId="11" xfId="3" applyNumberFormat="1" applyFont="1" applyFill="1" applyBorder="1" applyAlignment="1">
      <alignment horizontal="center" vertical="center" wrapText="1"/>
    </xf>
    <xf numFmtId="2" fontId="10" fillId="3" borderId="12" xfId="3" applyNumberFormat="1" applyFont="1" applyFill="1" applyBorder="1" applyAlignment="1">
      <alignment horizontal="center" vertical="center" wrapText="1"/>
    </xf>
    <xf numFmtId="0" fontId="14" fillId="3" borderId="2" xfId="3" applyFont="1" applyFill="1" applyBorder="1" applyAlignment="1" applyProtection="1">
      <alignment horizontal="center" vertical="center"/>
      <protection locked="0"/>
    </xf>
    <xf numFmtId="0" fontId="14" fillId="3" borderId="5" xfId="3" applyFont="1" applyFill="1" applyBorder="1" applyAlignment="1" applyProtection="1">
      <alignment horizontal="center" vertical="center"/>
      <protection locked="0"/>
    </xf>
    <xf numFmtId="0" fontId="14" fillId="3" borderId="3" xfId="3" applyFont="1" applyFill="1" applyBorder="1" applyAlignment="1" applyProtection="1">
      <alignment horizontal="center" vertical="center"/>
      <protection locked="0"/>
    </xf>
    <xf numFmtId="0" fontId="1" fillId="3" borderId="8" xfId="3" applyFill="1" applyBorder="1" applyAlignment="1">
      <alignment horizontal="center" vertical="center"/>
    </xf>
    <xf numFmtId="0" fontId="1" fillId="3" borderId="10" xfId="3" applyFill="1" applyBorder="1" applyAlignment="1">
      <alignment horizontal="center" vertical="center"/>
    </xf>
    <xf numFmtId="0" fontId="1" fillId="3" borderId="9" xfId="3" applyFill="1" applyBorder="1" applyAlignment="1">
      <alignment horizontal="center" vertical="center"/>
    </xf>
    <xf numFmtId="0" fontId="1" fillId="3" borderId="13" xfId="3" applyFill="1" applyBorder="1" applyAlignment="1">
      <alignment horizontal="center" vertical="center"/>
    </xf>
    <xf numFmtId="0" fontId="8" fillId="5" borderId="1" xfId="3" applyFont="1" applyFill="1" applyBorder="1" applyAlignment="1">
      <alignment horizontal="center"/>
    </xf>
    <xf numFmtId="0" fontId="8" fillId="5" borderId="1" xfId="3" applyFont="1" applyFill="1" applyBorder="1" applyAlignment="1">
      <alignment horizontal="center" vertical="center" wrapText="1"/>
    </xf>
    <xf numFmtId="2" fontId="20" fillId="8" borderId="2" xfId="0" applyNumberFormat="1" applyFont="1" applyFill="1" applyBorder="1" applyAlignment="1">
      <alignment horizontal="left" wrapText="1"/>
    </xf>
    <xf numFmtId="2" fontId="20" fillId="8" borderId="5" xfId="0" applyNumberFormat="1" applyFont="1" applyFill="1" applyBorder="1" applyAlignment="1">
      <alignment horizontal="left" wrapText="1"/>
    </xf>
    <xf numFmtId="2" fontId="20" fillId="8" borderId="3" xfId="0" applyNumberFormat="1" applyFont="1" applyFill="1" applyBorder="1" applyAlignment="1">
      <alignment horizontal="left" wrapText="1"/>
    </xf>
    <xf numFmtId="0" fontId="20" fillId="5" borderId="12" xfId="0" applyFont="1" applyFill="1" applyBorder="1" applyAlignment="1">
      <alignment horizontal="left"/>
    </xf>
    <xf numFmtId="0" fontId="20" fillId="8" borderId="1" xfId="0" applyFont="1" applyFill="1" applyBorder="1" applyAlignment="1">
      <alignment horizontal="left" wrapText="1"/>
    </xf>
    <xf numFmtId="2" fontId="20" fillId="8" borderId="1" xfId="0" applyNumberFormat="1" applyFont="1" applyFill="1" applyBorder="1" applyAlignment="1">
      <alignment horizontal="left" wrapText="1"/>
    </xf>
    <xf numFmtId="2" fontId="20" fillId="9" borderId="2" xfId="0" applyNumberFormat="1" applyFont="1" applyFill="1" applyBorder="1" applyAlignment="1">
      <alignment horizontal="left" wrapText="1"/>
    </xf>
    <xf numFmtId="2" fontId="20" fillId="9" borderId="5" xfId="0" applyNumberFormat="1" applyFont="1" applyFill="1" applyBorder="1" applyAlignment="1">
      <alignment horizontal="left" wrapText="1"/>
    </xf>
    <xf numFmtId="2" fontId="20" fillId="9" borderId="3" xfId="0" applyNumberFormat="1" applyFont="1" applyFill="1" applyBorder="1" applyAlignment="1">
      <alignment horizontal="left" wrapText="1"/>
    </xf>
    <xf numFmtId="2" fontId="20" fillId="5" borderId="2" xfId="0" applyNumberFormat="1" applyFont="1" applyFill="1" applyBorder="1" applyAlignment="1">
      <alignment horizontal="left" wrapText="1"/>
    </xf>
    <xf numFmtId="2" fontId="20" fillId="5" borderId="5" xfId="0" applyNumberFormat="1" applyFont="1" applyFill="1" applyBorder="1" applyAlignment="1">
      <alignment horizontal="left" wrapText="1"/>
    </xf>
    <xf numFmtId="2" fontId="20" fillId="5" borderId="3" xfId="0" applyNumberFormat="1" applyFont="1" applyFill="1" applyBorder="1" applyAlignment="1">
      <alignment horizontal="left" wrapText="1"/>
    </xf>
    <xf numFmtId="49" fontId="28" fillId="5" borderId="0" xfId="0" applyNumberFormat="1" applyFont="1" applyFill="1" applyAlignment="1">
      <alignment horizontal="center" vertical="center"/>
    </xf>
    <xf numFmtId="2" fontId="20" fillId="9" borderId="1" xfId="0" applyNumberFormat="1" applyFont="1" applyFill="1" applyBorder="1" applyAlignment="1">
      <alignment horizontal="left" wrapText="1"/>
    </xf>
    <xf numFmtId="2" fontId="17" fillId="7" borderId="6" xfId="0" applyNumberFormat="1" applyFont="1" applyFill="1" applyBorder="1" applyAlignment="1">
      <alignment horizontal="center" vertical="center"/>
    </xf>
    <xf numFmtId="2" fontId="17" fillId="7" borderId="7" xfId="0" applyNumberFormat="1" applyFont="1" applyFill="1" applyBorder="1" applyAlignment="1">
      <alignment horizontal="center" vertical="center"/>
    </xf>
    <xf numFmtId="2" fontId="17" fillId="7" borderId="8" xfId="0" applyNumberFormat="1" applyFont="1" applyFill="1" applyBorder="1" applyAlignment="1">
      <alignment horizontal="center" vertical="center"/>
    </xf>
    <xf numFmtId="2" fontId="17" fillId="7" borderId="4" xfId="0" applyNumberFormat="1" applyFont="1" applyFill="1" applyBorder="1" applyAlignment="1">
      <alignment horizontal="center" vertical="center"/>
    </xf>
    <xf numFmtId="2" fontId="17" fillId="7" borderId="0" xfId="0" applyNumberFormat="1" applyFont="1" applyFill="1" applyAlignment="1">
      <alignment horizontal="center" vertical="center"/>
    </xf>
    <xf numFmtId="2" fontId="17" fillId="7" borderId="15" xfId="0" applyNumberFormat="1" applyFont="1" applyFill="1" applyBorder="1" applyAlignment="1">
      <alignment horizontal="center" vertical="center"/>
    </xf>
    <xf numFmtId="2" fontId="17" fillId="7" borderId="10" xfId="0" applyNumberFormat="1" applyFont="1" applyFill="1" applyBorder="1" applyAlignment="1">
      <alignment horizontal="center" vertical="center"/>
    </xf>
    <xf numFmtId="2" fontId="17" fillId="7" borderId="9" xfId="0" applyNumberFormat="1" applyFont="1" applyFill="1" applyBorder="1" applyAlignment="1">
      <alignment horizontal="center" vertical="center"/>
    </xf>
    <xf numFmtId="2" fontId="17" fillId="7" borderId="13" xfId="0" applyNumberFormat="1" applyFont="1" applyFill="1" applyBorder="1" applyAlignment="1">
      <alignment horizontal="center" vertical="center"/>
    </xf>
    <xf numFmtId="2" fontId="20" fillId="8" borderId="2" xfId="0" applyNumberFormat="1" applyFont="1" applyFill="1" applyBorder="1" applyAlignment="1">
      <alignment horizontal="center" wrapText="1"/>
    </xf>
    <xf numFmtId="2" fontId="20" fillId="8" borderId="5" xfId="0" applyNumberFormat="1" applyFont="1" applyFill="1" applyBorder="1" applyAlignment="1">
      <alignment horizontal="center" wrapText="1"/>
    </xf>
    <xf numFmtId="2" fontId="20" fillId="8" borderId="3" xfId="0" applyNumberFormat="1" applyFont="1" applyFill="1" applyBorder="1" applyAlignment="1">
      <alignment horizontal="center" wrapText="1"/>
    </xf>
  </cellXfs>
  <cellStyles count="5">
    <cellStyle name="Comma 2" xfId="1" xr:uid="{00000000-0005-0000-0000-000000000000}"/>
    <cellStyle name="Hyperlink" xfId="2" builtinId="8"/>
    <cellStyle name="Normal" xfId="0" builtinId="0"/>
    <cellStyle name="Normal 2" xfId="3" xr:uid="{00000000-0005-0000-0000-000003000000}"/>
    <cellStyle name="Percent" xfId="4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Radio" firstButton="1" fmlaLink="N13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330200</xdr:colOff>
          <xdr:row>12</xdr:row>
          <xdr:rowOff>12700</xdr:rowOff>
        </xdr:from>
        <xdr:to>
          <xdr:col>5</xdr:col>
          <xdr:colOff>0</xdr:colOff>
          <xdr:row>12</xdr:row>
          <xdr:rowOff>241300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Pick Up (KL)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177800</xdr:colOff>
          <xdr:row>12</xdr:row>
          <xdr:rowOff>12700</xdr:rowOff>
        </xdr:from>
        <xdr:to>
          <xdr:col>7</xdr:col>
          <xdr:colOff>596900</xdr:colOff>
          <xdr:row>12</xdr:row>
          <xdr:rowOff>241300</xdr:rowOff>
        </xdr:to>
        <xdr:sp macro="" textlink="">
          <xdr:nvSpPr>
            <xdr:cNvPr id="2051" name="Option 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Pick Up (PG)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292100</xdr:colOff>
          <xdr:row>12</xdr:row>
          <xdr:rowOff>12700</xdr:rowOff>
        </xdr:from>
        <xdr:to>
          <xdr:col>9</xdr:col>
          <xdr:colOff>577850</xdr:colOff>
          <xdr:row>12</xdr:row>
          <xdr:rowOff>241300</xdr:rowOff>
        </xdr:to>
        <xdr:sp macro="" textlink="">
          <xdr:nvSpPr>
            <xdr:cNvPr id="2052" name="Option Butto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Pick Up (JB)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177800</xdr:colOff>
          <xdr:row>12</xdr:row>
          <xdr:rowOff>12700</xdr:rowOff>
        </xdr:from>
        <xdr:to>
          <xdr:col>11</xdr:col>
          <xdr:colOff>431800</xdr:colOff>
          <xdr:row>12</xdr:row>
          <xdr:rowOff>241300</xdr:rowOff>
        </xdr:to>
        <xdr:sp macro="" textlink="">
          <xdr:nvSpPr>
            <xdr:cNvPr id="2053" name="Option Button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Delivery (MYW)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28575</xdr:colOff>
      <xdr:row>0</xdr:row>
      <xdr:rowOff>0</xdr:rowOff>
    </xdr:from>
    <xdr:to>
      <xdr:col>5</xdr:col>
      <xdr:colOff>320675</xdr:colOff>
      <xdr:row>4</xdr:row>
      <xdr:rowOff>172630</xdr:rowOff>
    </xdr:to>
    <xdr:pic>
      <xdr:nvPicPr>
        <xdr:cNvPr id="2740" name="Picture 2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7650" y="0"/>
          <a:ext cx="3330575" cy="9251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184150</xdr:colOff>
          <xdr:row>12</xdr:row>
          <xdr:rowOff>6350</xdr:rowOff>
        </xdr:from>
        <xdr:to>
          <xdr:col>12</xdr:col>
          <xdr:colOff>1181100</xdr:colOff>
          <xdr:row>12</xdr:row>
          <xdr:rowOff>241300</xdr:rowOff>
        </xdr:to>
        <xdr:sp macro="" textlink="">
          <xdr:nvSpPr>
            <xdr:cNvPr id="2054" name="Option Butto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Delivery (MYE)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ey Hon" id="{23F05BD3-28D9-41B4-BD21-4E4495B4BAB2}" userId="S::joeyho@herbalife.com::6a1934e9-56c1-49f7-ae13-d3fc532be5ce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30" dT="2024-05-24T14:34:22.38" personId="{23F05BD3-28D9-41B4-BD21-4E4495B4BAB2}" id="{4BDDAB0C-8C40-4BBB-A3DB-A1C35DFA4BE0}">
    <text>For freight calculation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mberservices_my@herbalife.com" TargetMode="External"/><Relationship Id="rId6" Type="http://schemas.openxmlformats.org/officeDocument/2006/relationships/ctrlProp" Target="../ctrlProps/ctrlProp2.xml"/><Relationship Id="rId11" Type="http://schemas.microsoft.com/office/2017/10/relationships/threadedComment" Target="../threadedComments/threadedComment1.xml"/><Relationship Id="rId5" Type="http://schemas.openxmlformats.org/officeDocument/2006/relationships/ctrlProp" Target="../ctrlProps/ctrlProp1.xml"/><Relationship Id="rId10" Type="http://schemas.openxmlformats.org/officeDocument/2006/relationships/comments" Target="../comments1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P96"/>
  <sheetViews>
    <sheetView topLeftCell="A23" zoomScaleNormal="100" workbookViewId="0">
      <selection activeCell="Q14" sqref="Q14"/>
    </sheetView>
  </sheetViews>
  <sheetFormatPr defaultColWidth="9.1796875" defaultRowHeight="14.5" x14ac:dyDescent="0.35"/>
  <cols>
    <col min="1" max="1" width="3.1796875" style="2" customWidth="1"/>
    <col min="2" max="2" width="11.81640625" style="2" customWidth="1"/>
    <col min="3" max="3" width="11.54296875" style="2" customWidth="1"/>
    <col min="4" max="4" width="6.1796875" style="2" customWidth="1"/>
    <col min="5" max="5" width="14" style="2" customWidth="1"/>
    <col min="6" max="6" width="11.81640625" style="2" customWidth="1"/>
    <col min="7" max="8" width="9.1796875" style="2"/>
    <col min="9" max="9" width="11" style="2" customWidth="1"/>
    <col min="10" max="10" width="11.453125" style="2" customWidth="1"/>
    <col min="11" max="12" width="11.1796875" style="2" customWidth="1"/>
    <col min="13" max="13" width="20.453125" style="2" customWidth="1"/>
    <col min="14" max="14" width="4" style="2" customWidth="1"/>
    <col min="15" max="15" width="10.54296875" style="2" hidden="1" customWidth="1"/>
    <col min="16" max="16" width="10.1796875" style="2" hidden="1" customWidth="1"/>
    <col min="17" max="18" width="9.1796875" style="2" customWidth="1"/>
    <col min="19" max="16384" width="9.1796875" style="2"/>
  </cols>
  <sheetData>
    <row r="1" spans="2:14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2:14" ht="16.5" x14ac:dyDescent="0.35">
      <c r="B2" s="1"/>
      <c r="C2" s="1"/>
      <c r="D2" s="1"/>
      <c r="E2" s="1"/>
      <c r="F2" s="1"/>
      <c r="G2" s="1"/>
      <c r="H2" s="1"/>
      <c r="I2" s="1"/>
      <c r="J2" s="92" t="s">
        <v>245</v>
      </c>
      <c r="K2" s="93"/>
      <c r="L2" s="92"/>
      <c r="M2" s="92"/>
      <c r="N2" s="1"/>
    </row>
    <row r="3" spans="2:14" x14ac:dyDescent="0.35">
      <c r="B3" s="1"/>
      <c r="C3" s="1"/>
      <c r="D3" s="1"/>
      <c r="E3" s="1"/>
      <c r="F3" s="1"/>
      <c r="G3" s="1"/>
      <c r="H3" s="1"/>
      <c r="I3" s="1"/>
      <c r="J3" s="94" t="s">
        <v>0</v>
      </c>
      <c r="K3" s="95"/>
      <c r="L3" s="94"/>
      <c r="M3" s="94"/>
      <c r="N3" s="1"/>
    </row>
    <row r="4" spans="2:14" x14ac:dyDescent="0.35">
      <c r="C4" s="4"/>
      <c r="D4" s="4"/>
      <c r="E4" s="4"/>
      <c r="F4" s="4"/>
      <c r="G4" s="4"/>
      <c r="H4" s="1"/>
      <c r="I4" s="1"/>
      <c r="N4" s="1"/>
    </row>
    <row r="5" spans="2:14" x14ac:dyDescent="0.35">
      <c r="C5" s="4"/>
      <c r="D5" s="4"/>
      <c r="E5" s="4"/>
      <c r="F5" s="4"/>
      <c r="G5" s="4"/>
      <c r="H5" s="1"/>
      <c r="I5" s="1"/>
      <c r="N5" s="1"/>
    </row>
    <row r="6" spans="2:14" ht="15.5" x14ac:dyDescent="0.35">
      <c r="B6" s="3" t="s">
        <v>1</v>
      </c>
      <c r="C6" s="6"/>
      <c r="D6" s="6"/>
      <c r="E6" s="4"/>
      <c r="F6" s="4"/>
      <c r="G6" s="4"/>
      <c r="H6" s="1"/>
      <c r="I6" s="1"/>
      <c r="J6" s="8" t="s">
        <v>246</v>
      </c>
      <c r="L6" s="98" t="s">
        <v>2</v>
      </c>
      <c r="M6" s="98"/>
      <c r="N6" s="1"/>
    </row>
    <row r="7" spans="2:14" x14ac:dyDescent="0.35">
      <c r="B7" s="53" t="s">
        <v>3</v>
      </c>
      <c r="C7" s="6"/>
      <c r="D7" s="6"/>
      <c r="E7" s="4"/>
      <c r="F7" s="4"/>
      <c r="G7" s="4"/>
      <c r="H7" s="1"/>
      <c r="I7" s="7"/>
      <c r="J7" s="8" t="s">
        <v>247</v>
      </c>
      <c r="L7" s="86" t="s">
        <v>4</v>
      </c>
      <c r="M7" s="86"/>
      <c r="N7" s="1"/>
    </row>
    <row r="8" spans="2:14" x14ac:dyDescent="0.35">
      <c r="B8" s="5" t="s">
        <v>5</v>
      </c>
      <c r="C8" s="6"/>
      <c r="D8" s="6"/>
      <c r="E8" s="4"/>
      <c r="F8" s="4"/>
      <c r="G8" s="4"/>
      <c r="H8" s="1"/>
      <c r="I8" s="1"/>
      <c r="N8" s="1"/>
    </row>
    <row r="9" spans="2:14" x14ac:dyDescent="0.35">
      <c r="B9" s="5" t="s">
        <v>6</v>
      </c>
      <c r="C9" s="6"/>
      <c r="D9" s="6"/>
      <c r="E9" s="4"/>
      <c r="F9" s="4"/>
      <c r="G9" s="4"/>
      <c r="H9" s="1"/>
      <c r="I9" s="1"/>
      <c r="N9" s="1"/>
    </row>
    <row r="10" spans="2:14" ht="18" x14ac:dyDescent="0.35">
      <c r="B10" s="5" t="s">
        <v>7</v>
      </c>
      <c r="F10" s="1"/>
      <c r="G10" s="1"/>
      <c r="H10" s="1"/>
      <c r="I10" s="1"/>
      <c r="J10" s="23" t="s">
        <v>8</v>
      </c>
      <c r="K10" s="24"/>
      <c r="L10" s="96"/>
      <c r="M10" s="97"/>
      <c r="N10" s="1"/>
    </row>
    <row r="11" spans="2:14" ht="18" x14ac:dyDescent="0.4">
      <c r="B11" s="10"/>
      <c r="C11" s="1"/>
      <c r="D11" s="22"/>
      <c r="E11" s="22"/>
      <c r="F11" s="1"/>
      <c r="G11" s="1"/>
      <c r="H11" s="1"/>
      <c r="I11" s="1"/>
      <c r="K11" s="1"/>
      <c r="N11" s="1"/>
    </row>
    <row r="12" spans="2:14" x14ac:dyDescent="0.35">
      <c r="B12" s="9" t="s">
        <v>278</v>
      </c>
    </row>
    <row r="13" spans="2:14" ht="21" customHeight="1" x14ac:dyDescent="0.35">
      <c r="B13" s="113" t="s">
        <v>9</v>
      </c>
      <c r="C13" s="114"/>
      <c r="D13" s="115"/>
      <c r="E13" s="107"/>
      <c r="F13" s="108"/>
      <c r="G13" s="109"/>
      <c r="H13" s="110"/>
      <c r="I13" s="117"/>
      <c r="J13" s="118"/>
      <c r="K13" s="116"/>
      <c r="L13" s="116"/>
      <c r="M13" s="71"/>
      <c r="N13" s="11"/>
    </row>
    <row r="14" spans="2:14" ht="23.25" customHeight="1" x14ac:dyDescent="0.35">
      <c r="B14" s="25" t="s">
        <v>10</v>
      </c>
      <c r="C14" s="26"/>
      <c r="D14" s="27"/>
      <c r="E14" s="27"/>
      <c r="F14" s="27"/>
      <c r="G14" s="27"/>
      <c r="H14" s="28" t="s">
        <v>11</v>
      </c>
      <c r="I14" s="29"/>
      <c r="J14" s="29"/>
      <c r="K14" s="29"/>
      <c r="L14" s="29"/>
      <c r="M14" s="30"/>
      <c r="N14" s="1"/>
    </row>
    <row r="15" spans="2:14" ht="17.25" customHeight="1" x14ac:dyDescent="0.35">
      <c r="B15" s="12" t="s">
        <v>12</v>
      </c>
      <c r="C15" s="105"/>
      <c r="D15" s="105"/>
      <c r="E15" s="105"/>
      <c r="F15" s="105"/>
      <c r="G15" s="106"/>
      <c r="H15" s="12" t="s">
        <v>12</v>
      </c>
      <c r="I15" s="105"/>
      <c r="J15" s="105"/>
      <c r="K15" s="105"/>
      <c r="L15" s="105"/>
      <c r="M15" s="105"/>
      <c r="N15" s="4"/>
    </row>
    <row r="16" spans="2:14" ht="18" customHeight="1" x14ac:dyDescent="0.35">
      <c r="B16" s="12" t="s">
        <v>13</v>
      </c>
      <c r="C16" s="90"/>
      <c r="D16" s="90"/>
      <c r="E16" s="90"/>
      <c r="F16" s="90"/>
      <c r="G16" s="91"/>
      <c r="H16" s="161" t="s">
        <v>14</v>
      </c>
      <c r="I16" s="149"/>
      <c r="J16" s="150"/>
      <c r="K16" s="150"/>
      <c r="L16" s="150"/>
      <c r="M16" s="151"/>
      <c r="N16" s="4"/>
    </row>
    <row r="17" spans="2:16" ht="21" customHeight="1" x14ac:dyDescent="0.35">
      <c r="B17" s="31" t="s">
        <v>15</v>
      </c>
      <c r="C17" s="32"/>
      <c r="D17" s="32"/>
      <c r="E17" s="33"/>
      <c r="F17" s="32"/>
      <c r="G17" s="32"/>
      <c r="H17" s="161"/>
      <c r="I17" s="152"/>
      <c r="J17" s="153"/>
      <c r="K17" s="153"/>
      <c r="L17" s="153"/>
      <c r="M17" s="154"/>
      <c r="N17" s="1"/>
    </row>
    <row r="18" spans="2:16" ht="18.75" customHeight="1" x14ac:dyDescent="0.35">
      <c r="B18" s="12" t="s">
        <v>12</v>
      </c>
      <c r="C18" s="105"/>
      <c r="D18" s="105"/>
      <c r="E18" s="105"/>
      <c r="F18" s="105"/>
      <c r="G18" s="106"/>
      <c r="H18" s="12" t="s">
        <v>16</v>
      </c>
      <c r="I18" s="105"/>
      <c r="J18" s="105"/>
      <c r="K18" s="105"/>
      <c r="L18" s="105"/>
      <c r="M18" s="105"/>
      <c r="N18" s="1"/>
    </row>
    <row r="19" spans="2:16" ht="18.75" customHeight="1" x14ac:dyDescent="0.35">
      <c r="B19" s="12" t="s">
        <v>13</v>
      </c>
      <c r="C19" s="90"/>
      <c r="D19" s="90"/>
      <c r="E19" s="90"/>
      <c r="F19" s="90"/>
      <c r="G19" s="91"/>
      <c r="H19" s="114" t="s">
        <v>17</v>
      </c>
      <c r="I19" s="114"/>
      <c r="J19" s="114"/>
      <c r="K19" s="114"/>
      <c r="L19" s="114"/>
      <c r="M19" s="115"/>
      <c r="N19" s="1"/>
    </row>
    <row r="20" spans="2:16" ht="20.25" customHeight="1" x14ac:dyDescent="0.35">
      <c r="B20" s="99" t="s">
        <v>18</v>
      </c>
      <c r="C20" s="100"/>
      <c r="D20" s="101"/>
      <c r="E20" s="111"/>
      <c r="F20" s="112"/>
      <c r="G20" s="112"/>
      <c r="H20" s="134" t="s">
        <v>19</v>
      </c>
      <c r="I20" s="135"/>
      <c r="J20" s="135"/>
      <c r="K20" s="135"/>
      <c r="L20" s="135"/>
      <c r="M20" s="136"/>
      <c r="N20" s="1"/>
    </row>
    <row r="21" spans="2:16" ht="20.25" customHeight="1" x14ac:dyDescent="0.35">
      <c r="B21" s="102"/>
      <c r="C21" s="103"/>
      <c r="D21" s="104"/>
      <c r="E21" s="13" t="s">
        <v>20</v>
      </c>
      <c r="F21" s="18"/>
      <c r="G21" s="38" t="s">
        <v>21</v>
      </c>
      <c r="H21" s="131" t="s">
        <v>22</v>
      </c>
      <c r="I21" s="131"/>
      <c r="J21" s="155"/>
      <c r="K21" s="155"/>
      <c r="L21" s="155"/>
      <c r="M21" s="155"/>
      <c r="N21" s="1"/>
    </row>
    <row r="22" spans="2:16" ht="23.25" customHeight="1" x14ac:dyDescent="0.35">
      <c r="B22" s="25" t="s">
        <v>23</v>
      </c>
      <c r="C22" s="34"/>
      <c r="D22" s="34"/>
      <c r="E22" s="34"/>
      <c r="F22" s="34"/>
      <c r="G22" s="34"/>
      <c r="H22" s="131" t="s">
        <v>24</v>
      </c>
      <c r="I22" s="131"/>
      <c r="J22" s="156"/>
      <c r="K22" s="157"/>
      <c r="L22" s="157"/>
      <c r="M22" s="158"/>
      <c r="N22" s="1"/>
    </row>
    <row r="23" spans="2:16" ht="16.5" customHeight="1" x14ac:dyDescent="0.35">
      <c r="B23" s="12" t="s">
        <v>12</v>
      </c>
      <c r="C23" s="105"/>
      <c r="D23" s="105"/>
      <c r="E23" s="105"/>
      <c r="F23" s="105"/>
      <c r="G23" s="106"/>
      <c r="H23" s="159" t="s">
        <v>25</v>
      </c>
      <c r="I23" s="160"/>
      <c r="J23" s="146"/>
      <c r="K23" s="147"/>
      <c r="L23" s="147"/>
      <c r="M23" s="148"/>
      <c r="N23" s="1"/>
    </row>
    <row r="24" spans="2:16" ht="16.5" customHeight="1" x14ac:dyDescent="0.35">
      <c r="B24" s="12" t="s">
        <v>13</v>
      </c>
      <c r="C24" s="90"/>
      <c r="D24" s="90"/>
      <c r="E24" s="90"/>
      <c r="F24" s="90"/>
      <c r="G24" s="91"/>
      <c r="H24" s="132" t="s">
        <v>26</v>
      </c>
      <c r="I24" s="133"/>
      <c r="J24" s="166"/>
      <c r="K24" s="167"/>
      <c r="L24" s="167"/>
      <c r="M24" s="168"/>
      <c r="N24" s="1"/>
    </row>
    <row r="25" spans="2:16" ht="15" customHeight="1" x14ac:dyDescent="0.35">
      <c r="B25" s="119" t="s">
        <v>27</v>
      </c>
      <c r="C25" s="120"/>
      <c r="D25" s="120"/>
      <c r="E25" s="120"/>
      <c r="F25" s="120"/>
      <c r="G25" s="120"/>
      <c r="H25" s="117"/>
      <c r="I25" s="118"/>
      <c r="J25" s="118"/>
      <c r="K25" s="118"/>
      <c r="L25" s="118"/>
      <c r="M25" s="169"/>
      <c r="N25" s="1"/>
    </row>
    <row r="26" spans="2:16" ht="15" customHeight="1" x14ac:dyDescent="0.35">
      <c r="B26" s="121"/>
      <c r="C26" s="122"/>
      <c r="D26" s="122"/>
      <c r="E26" s="122"/>
      <c r="F26" s="122"/>
      <c r="G26" s="122"/>
      <c r="H26" s="170"/>
      <c r="I26" s="171"/>
      <c r="J26" s="171"/>
      <c r="K26" s="171"/>
      <c r="L26" s="171"/>
      <c r="M26" s="172"/>
      <c r="N26" s="1"/>
    </row>
    <row r="27" spans="2:16" x14ac:dyDescent="0.35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"/>
      <c r="N27" s="1"/>
    </row>
    <row r="28" spans="2:16" x14ac:dyDescent="0.35">
      <c r="B28" s="124" t="s">
        <v>28</v>
      </c>
      <c r="C28" s="126">
        <v>0.5</v>
      </c>
      <c r="D28" s="128" t="s">
        <v>29</v>
      </c>
      <c r="E28" s="129"/>
      <c r="F28" s="129"/>
      <c r="G28" s="129"/>
      <c r="H28" s="129"/>
      <c r="I28" s="129"/>
      <c r="J28" s="129"/>
      <c r="K28" s="129"/>
      <c r="L28" s="129"/>
      <c r="M28" s="129"/>
      <c r="N28" s="1"/>
    </row>
    <row r="29" spans="2:16" x14ac:dyDescent="0.35">
      <c r="B29" s="125"/>
      <c r="C29" s="127"/>
      <c r="D29" s="130"/>
      <c r="E29" s="129"/>
      <c r="F29" s="129"/>
      <c r="G29" s="129"/>
      <c r="H29" s="129"/>
      <c r="I29" s="129"/>
      <c r="J29" s="129"/>
      <c r="K29" s="129"/>
      <c r="L29" s="129"/>
      <c r="M29" s="129"/>
      <c r="N29" s="1"/>
    </row>
    <row r="30" spans="2:16" ht="15" customHeight="1" x14ac:dyDescent="0.35">
      <c r="B30" s="123" t="s">
        <v>30</v>
      </c>
      <c r="C30" s="123" t="s">
        <v>31</v>
      </c>
      <c r="D30" s="123"/>
      <c r="E30" s="123"/>
      <c r="F30" s="123"/>
      <c r="G30" s="123"/>
      <c r="H30" s="123"/>
      <c r="I30" s="123" t="s">
        <v>48</v>
      </c>
      <c r="J30" s="174" t="s">
        <v>32</v>
      </c>
      <c r="K30" s="123" t="s">
        <v>33</v>
      </c>
      <c r="L30" s="123" t="s">
        <v>34</v>
      </c>
      <c r="M30" s="173"/>
      <c r="N30" s="1"/>
      <c r="O30" s="164" t="s">
        <v>35</v>
      </c>
      <c r="P30" s="164" t="s">
        <v>36</v>
      </c>
    </row>
    <row r="31" spans="2:16" ht="18.75" customHeight="1" x14ac:dyDescent="0.35">
      <c r="B31" s="123"/>
      <c r="C31" s="123"/>
      <c r="D31" s="123"/>
      <c r="E31" s="123"/>
      <c r="F31" s="123"/>
      <c r="G31" s="123"/>
      <c r="H31" s="123"/>
      <c r="I31" s="123"/>
      <c r="J31" s="174"/>
      <c r="K31" s="123"/>
      <c r="L31" s="173"/>
      <c r="M31" s="173"/>
      <c r="N31" s="1"/>
      <c r="O31" s="165"/>
      <c r="P31" s="165"/>
    </row>
    <row r="32" spans="2:16" x14ac:dyDescent="0.35">
      <c r="B32" s="72"/>
      <c r="C32" s="87" t="str">
        <f>IF(B32&lt;&gt;"",VLOOKUP(B32,'Price List'!A:J,2,0),"")</f>
        <v/>
      </c>
      <c r="D32" s="88"/>
      <c r="E32" s="88"/>
      <c r="F32" s="88"/>
      <c r="G32" s="88"/>
      <c r="H32" s="89"/>
      <c r="I32" s="19"/>
      <c r="J32" s="15" t="str">
        <f>IF(B32="","",VLOOKUP(B32,'Price List'!A:J,4,0)*I32)</f>
        <v/>
      </c>
      <c r="K32" s="15" t="str">
        <f>IF(B32="","",(VLOOKUP(B32,'Price List'!A:J,6,0)-(VLOOKUP(B32,'Price List'!A:K,11,0)*$C$28)))</f>
        <v/>
      </c>
      <c r="L32" s="162" t="str">
        <f t="shared" ref="L32" si="0">IF(K32="","",(K32*I32))</f>
        <v/>
      </c>
      <c r="M32" s="163"/>
      <c r="N32" s="4"/>
      <c r="O32" s="21" t="str">
        <f>IF(B32&lt;&gt;"",VLOOKUP(B32,'Price List'!A:J,6,0),"")</f>
        <v/>
      </c>
      <c r="P32" s="21" t="str">
        <f>IF(B32="","",O32*I32)</f>
        <v/>
      </c>
    </row>
    <row r="33" spans="2:16" x14ac:dyDescent="0.35">
      <c r="B33" s="50"/>
      <c r="C33" s="87" t="str">
        <f>IF(B33&lt;&gt;"",VLOOKUP(B33,'Price List'!A:J,2,0),"")</f>
        <v/>
      </c>
      <c r="D33" s="88"/>
      <c r="E33" s="88"/>
      <c r="F33" s="88"/>
      <c r="G33" s="88"/>
      <c r="H33" s="89"/>
      <c r="I33" s="19"/>
      <c r="J33" s="15" t="str">
        <f>IF(B33="","",VLOOKUP(B33,'Price List'!A:J,4,0)*I33)</f>
        <v/>
      </c>
      <c r="K33" s="15" t="str">
        <f>IF(B33="","",(VLOOKUP(B33,'Price List'!A:J,6,0)-(VLOOKUP(B33,'Price List'!A:K,11,0)*$C$28)))</f>
        <v/>
      </c>
      <c r="L33" s="162" t="str">
        <f t="shared" ref="L33:L58" si="1">IF(K33="","",(K33*I33))</f>
        <v/>
      </c>
      <c r="M33" s="163"/>
      <c r="N33" s="4"/>
      <c r="O33" s="21" t="str">
        <f>IF(B33&lt;&gt;"",VLOOKUP(B33,'Price List'!A:J,6,0),"")</f>
        <v/>
      </c>
      <c r="P33" s="21" t="str">
        <f t="shared" ref="P33:P56" si="2">IF(B33="","",O33*I33)</f>
        <v/>
      </c>
    </row>
    <row r="34" spans="2:16" x14ac:dyDescent="0.35">
      <c r="B34" s="50"/>
      <c r="C34" s="87" t="str">
        <f>IF(B34&lt;&gt;"",VLOOKUP(B34,'Price List'!A:J,2,0),"")</f>
        <v/>
      </c>
      <c r="D34" s="88"/>
      <c r="E34" s="88"/>
      <c r="F34" s="88"/>
      <c r="G34" s="88"/>
      <c r="H34" s="89"/>
      <c r="I34" s="19"/>
      <c r="J34" s="15" t="str">
        <f>IF(B34="","",VLOOKUP(B34,'Price List'!A:J,4,0)*I34)</f>
        <v/>
      </c>
      <c r="K34" s="15" t="str">
        <f>IF(B34="","",(VLOOKUP(B34,'Price List'!A:J,6,0)-(VLOOKUP(B34,'Price List'!A:K,11,0)*$C$28)))</f>
        <v/>
      </c>
      <c r="L34" s="162" t="str">
        <f t="shared" si="1"/>
        <v/>
      </c>
      <c r="M34" s="163"/>
      <c r="N34" s="4"/>
      <c r="O34" s="21" t="str">
        <f>IF(B34&lt;&gt;"",VLOOKUP(B34,'Price List'!A:J,6,0),"")</f>
        <v/>
      </c>
      <c r="P34" s="21" t="str">
        <f t="shared" si="2"/>
        <v/>
      </c>
    </row>
    <row r="35" spans="2:16" x14ac:dyDescent="0.35">
      <c r="B35" s="50"/>
      <c r="C35" s="87" t="str">
        <f>IF(B35&lt;&gt;"",VLOOKUP(B35,'Price List'!A:J,2,0),"")</f>
        <v/>
      </c>
      <c r="D35" s="88"/>
      <c r="E35" s="88"/>
      <c r="F35" s="88"/>
      <c r="G35" s="88"/>
      <c r="H35" s="89"/>
      <c r="I35" s="19"/>
      <c r="J35" s="15" t="str">
        <f>IF(B35="","",VLOOKUP(B35,'Price List'!A:J,4,0)*I35)</f>
        <v/>
      </c>
      <c r="K35" s="15" t="str">
        <f>IF(B35="","",(VLOOKUP(B35,'Price List'!A:J,6,0)-(VLOOKUP(B35,'Price List'!A:K,11,0)*$C$28)))</f>
        <v/>
      </c>
      <c r="L35" s="162" t="str">
        <f t="shared" si="1"/>
        <v/>
      </c>
      <c r="M35" s="163"/>
      <c r="N35" s="4"/>
      <c r="O35" s="21" t="str">
        <f>IF(B35&lt;&gt;"",VLOOKUP(B35,'Price List'!A:J,6,0),"")</f>
        <v/>
      </c>
      <c r="P35" s="21" t="str">
        <f t="shared" si="2"/>
        <v/>
      </c>
    </row>
    <row r="36" spans="2:16" x14ac:dyDescent="0.35">
      <c r="B36" s="50"/>
      <c r="C36" s="87" t="str">
        <f>IF(B36&lt;&gt;"",VLOOKUP(B36,'Price List'!A:J,2,0),"")</f>
        <v/>
      </c>
      <c r="D36" s="88"/>
      <c r="E36" s="88"/>
      <c r="F36" s="88"/>
      <c r="G36" s="88"/>
      <c r="H36" s="89"/>
      <c r="I36" s="19"/>
      <c r="J36" s="15" t="str">
        <f>IF(B36="","",VLOOKUP(B36,'Price List'!A:J,4,0)*I36)</f>
        <v/>
      </c>
      <c r="K36" s="15" t="str">
        <f>IF(B36="","",(VLOOKUP(B36,'Price List'!A:J,6,0)-(VLOOKUP(B36,'Price List'!A:K,11,0)*$C$28)))</f>
        <v/>
      </c>
      <c r="L36" s="162" t="str">
        <f t="shared" si="1"/>
        <v/>
      </c>
      <c r="M36" s="163"/>
      <c r="N36" s="4"/>
      <c r="O36" s="21" t="str">
        <f>IF(B36&lt;&gt;"",VLOOKUP(B36,'Price List'!A:J,6,0),"")</f>
        <v/>
      </c>
      <c r="P36" s="21" t="str">
        <f t="shared" si="2"/>
        <v/>
      </c>
    </row>
    <row r="37" spans="2:16" x14ac:dyDescent="0.35">
      <c r="B37" s="50"/>
      <c r="C37" s="87" t="str">
        <f>IF(B37&lt;&gt;"",VLOOKUP(B37,'Price List'!A:J,2,0),"")</f>
        <v/>
      </c>
      <c r="D37" s="88"/>
      <c r="E37" s="88"/>
      <c r="F37" s="88"/>
      <c r="G37" s="88"/>
      <c r="H37" s="89"/>
      <c r="I37" s="19"/>
      <c r="J37" s="15" t="str">
        <f>IF(B37="","",VLOOKUP(B37,'Price List'!A:J,4,0)*I37)</f>
        <v/>
      </c>
      <c r="K37" s="15" t="str">
        <f>IF(B37="","",(VLOOKUP(B37,'Price List'!A:J,6,0)-(VLOOKUP(B37,'Price List'!A:K,11,0)*$C$28)))</f>
        <v/>
      </c>
      <c r="L37" s="162" t="str">
        <f t="shared" si="1"/>
        <v/>
      </c>
      <c r="M37" s="163"/>
      <c r="N37" s="4"/>
      <c r="O37" s="21" t="str">
        <f>IF(B37&lt;&gt;"",VLOOKUP(B37,'Price List'!A:J,6,0),"")</f>
        <v/>
      </c>
      <c r="P37" s="21" t="str">
        <f t="shared" si="2"/>
        <v/>
      </c>
    </row>
    <row r="38" spans="2:16" x14ac:dyDescent="0.35">
      <c r="B38" s="50"/>
      <c r="C38" s="87" t="str">
        <f>IF(B38&lt;&gt;"",VLOOKUP(B38,'Price List'!A:J,2,0),"")</f>
        <v/>
      </c>
      <c r="D38" s="88"/>
      <c r="E38" s="88"/>
      <c r="F38" s="88"/>
      <c r="G38" s="88"/>
      <c r="H38" s="89"/>
      <c r="I38" s="19"/>
      <c r="J38" s="15" t="str">
        <f>IF(B38="","",VLOOKUP(B38,'Price List'!A:J,4,0)*I38)</f>
        <v/>
      </c>
      <c r="K38" s="15" t="str">
        <f>IF(B38="","",(VLOOKUP(B38,'Price List'!A:J,6,0)-(VLOOKUP(B38,'Price List'!A:K,11,0)*$C$28)))</f>
        <v/>
      </c>
      <c r="L38" s="162" t="str">
        <f t="shared" si="1"/>
        <v/>
      </c>
      <c r="M38" s="163"/>
      <c r="N38" s="4"/>
      <c r="O38" s="21" t="str">
        <f>IF(B38&lt;&gt;"",VLOOKUP(B38,'Price List'!A:J,6,0),"")</f>
        <v/>
      </c>
      <c r="P38" s="21" t="str">
        <f t="shared" si="2"/>
        <v/>
      </c>
    </row>
    <row r="39" spans="2:16" x14ac:dyDescent="0.35">
      <c r="B39" s="50"/>
      <c r="C39" s="87" t="str">
        <f>IF(B39&lt;&gt;"",VLOOKUP(B39,'Price List'!A:J,2,0),"")</f>
        <v/>
      </c>
      <c r="D39" s="88"/>
      <c r="E39" s="88"/>
      <c r="F39" s="88"/>
      <c r="G39" s="88"/>
      <c r="H39" s="89"/>
      <c r="I39" s="19"/>
      <c r="J39" s="15" t="str">
        <f>IF(B39="","",VLOOKUP(B39,'Price List'!A:J,4,0)*I39)</f>
        <v/>
      </c>
      <c r="K39" s="15" t="str">
        <f>IF(B39="","",(VLOOKUP(B39,'Price List'!A:J,6,0)-(VLOOKUP(B39,'Price List'!A:K,11,0)*$C$28)))</f>
        <v/>
      </c>
      <c r="L39" s="162" t="str">
        <f t="shared" si="1"/>
        <v/>
      </c>
      <c r="M39" s="163"/>
      <c r="N39" s="4"/>
      <c r="O39" s="21" t="str">
        <f>IF(B39&lt;&gt;"",VLOOKUP(B39,'Price List'!A:J,6,0),"")</f>
        <v/>
      </c>
      <c r="P39" s="21" t="str">
        <f t="shared" si="2"/>
        <v/>
      </c>
    </row>
    <row r="40" spans="2:16" x14ac:dyDescent="0.35">
      <c r="B40" s="50"/>
      <c r="C40" s="87" t="str">
        <f>IF(B40&lt;&gt;"",VLOOKUP(B40,'Price List'!A:J,2,0),"")</f>
        <v/>
      </c>
      <c r="D40" s="88"/>
      <c r="E40" s="88"/>
      <c r="F40" s="88"/>
      <c r="G40" s="88"/>
      <c r="H40" s="89"/>
      <c r="I40" s="19"/>
      <c r="J40" s="15" t="str">
        <f>IF(B40="","",VLOOKUP(B40,'Price List'!A:J,4,0)*I40)</f>
        <v/>
      </c>
      <c r="K40" s="15" t="str">
        <f>IF(B40="","",(VLOOKUP(B40,'Price List'!A:J,6,0)-(VLOOKUP(B40,'Price List'!A:K,11,0)*$C$28)))</f>
        <v/>
      </c>
      <c r="L40" s="162" t="str">
        <f t="shared" si="1"/>
        <v/>
      </c>
      <c r="M40" s="163"/>
      <c r="N40" s="4"/>
      <c r="O40" s="21" t="str">
        <f>IF(B40&lt;&gt;"",VLOOKUP(B40,'Price List'!A:J,6,0),"")</f>
        <v/>
      </c>
      <c r="P40" s="21" t="str">
        <f t="shared" si="2"/>
        <v/>
      </c>
    </row>
    <row r="41" spans="2:16" x14ac:dyDescent="0.35">
      <c r="B41" s="50"/>
      <c r="C41" s="87" t="str">
        <f>IF(B41&lt;&gt;"",VLOOKUP(B41,'Price List'!A:J,2,0),"")</f>
        <v/>
      </c>
      <c r="D41" s="88"/>
      <c r="E41" s="88"/>
      <c r="F41" s="88"/>
      <c r="G41" s="88"/>
      <c r="H41" s="89"/>
      <c r="I41" s="19"/>
      <c r="J41" s="15" t="str">
        <f>IF(B41="","",VLOOKUP(B41,'Price List'!A:J,4,0)*I41)</f>
        <v/>
      </c>
      <c r="K41" s="15" t="str">
        <f>IF(B41="","",(VLOOKUP(B41,'Price List'!A:J,6,0)-(VLOOKUP(B41,'Price List'!A:K,11,0)*$C$28)))</f>
        <v/>
      </c>
      <c r="L41" s="162" t="str">
        <f t="shared" si="1"/>
        <v/>
      </c>
      <c r="M41" s="163"/>
      <c r="N41" s="4"/>
      <c r="O41" s="21" t="str">
        <f>IF(B41&lt;&gt;"",VLOOKUP(B41,'Price List'!A:J,6,0),"")</f>
        <v/>
      </c>
      <c r="P41" s="21" t="str">
        <f t="shared" si="2"/>
        <v/>
      </c>
    </row>
    <row r="42" spans="2:16" x14ac:dyDescent="0.35">
      <c r="B42" s="50"/>
      <c r="C42" s="87" t="str">
        <f>IF(B42&lt;&gt;"",VLOOKUP(B42,'Price List'!A:J,2,0),"")</f>
        <v/>
      </c>
      <c r="D42" s="88"/>
      <c r="E42" s="88"/>
      <c r="F42" s="88"/>
      <c r="G42" s="88"/>
      <c r="H42" s="89"/>
      <c r="I42" s="19"/>
      <c r="J42" s="15" t="str">
        <f>IF(B42="","",VLOOKUP(B42,'Price List'!A:J,4,0)*I42)</f>
        <v/>
      </c>
      <c r="K42" s="15" t="str">
        <f>IF(B42="","",(VLOOKUP(B42,'Price List'!A:J,6,0)-(VLOOKUP(B42,'Price List'!A:K,11,0)*$C$28)))</f>
        <v/>
      </c>
      <c r="L42" s="162" t="str">
        <f t="shared" si="1"/>
        <v/>
      </c>
      <c r="M42" s="163"/>
      <c r="N42" s="4"/>
      <c r="O42" s="21" t="str">
        <f>IF(B42&lt;&gt;"",VLOOKUP(B42,'Price List'!A:J,6,0),"")</f>
        <v/>
      </c>
      <c r="P42" s="21" t="str">
        <f t="shared" si="2"/>
        <v/>
      </c>
    </row>
    <row r="43" spans="2:16" x14ac:dyDescent="0.35">
      <c r="B43" s="50"/>
      <c r="C43" s="87" t="str">
        <f>IF(B43&lt;&gt;"",VLOOKUP(B43,'Price List'!A:J,2,0),"")</f>
        <v/>
      </c>
      <c r="D43" s="88"/>
      <c r="E43" s="88"/>
      <c r="F43" s="88"/>
      <c r="G43" s="88"/>
      <c r="H43" s="89"/>
      <c r="I43" s="19"/>
      <c r="J43" s="15" t="str">
        <f>IF(B43="","",VLOOKUP(B43,'Price List'!A:J,4,0)*I43)</f>
        <v/>
      </c>
      <c r="K43" s="15" t="str">
        <f>IF(B43="","",(VLOOKUP(B43,'Price List'!A:J,6,0)-(VLOOKUP(B43,'Price List'!A:K,11,0)*$C$28)))</f>
        <v/>
      </c>
      <c r="L43" s="162" t="str">
        <f t="shared" si="1"/>
        <v/>
      </c>
      <c r="M43" s="163"/>
      <c r="N43" s="4"/>
      <c r="O43" s="21" t="str">
        <f>IF(B43&lt;&gt;"",VLOOKUP(B43,'Price List'!A:J,6,0),"")</f>
        <v/>
      </c>
      <c r="P43" s="21" t="str">
        <f t="shared" si="2"/>
        <v/>
      </c>
    </row>
    <row r="44" spans="2:16" x14ac:dyDescent="0.35">
      <c r="B44" s="50"/>
      <c r="C44" s="87" t="str">
        <f>IF(B44&lt;&gt;"",VLOOKUP(B44,'Price List'!A:J,2,0),"")</f>
        <v/>
      </c>
      <c r="D44" s="88"/>
      <c r="E44" s="88"/>
      <c r="F44" s="88"/>
      <c r="G44" s="88"/>
      <c r="H44" s="89"/>
      <c r="I44" s="19"/>
      <c r="J44" s="15" t="str">
        <f>IF(B44="","",VLOOKUP(B44,'Price List'!A:J,4,0)*I44)</f>
        <v/>
      </c>
      <c r="K44" s="15" t="str">
        <f>IF(B44="","",(VLOOKUP(B44,'Price List'!A:J,6,0)-(VLOOKUP(B44,'Price List'!A:K,11,0)*$C$28)))</f>
        <v/>
      </c>
      <c r="L44" s="162" t="str">
        <f t="shared" si="1"/>
        <v/>
      </c>
      <c r="M44" s="163"/>
      <c r="N44" s="4"/>
      <c r="O44" s="21" t="str">
        <f>IF(B44&lt;&gt;"",VLOOKUP(B44,'Price List'!A:J,6,0),"")</f>
        <v/>
      </c>
      <c r="P44" s="21" t="str">
        <f t="shared" si="2"/>
        <v/>
      </c>
    </row>
    <row r="45" spans="2:16" x14ac:dyDescent="0.35">
      <c r="B45" s="50"/>
      <c r="C45" s="87" t="str">
        <f>IF(B45&lt;&gt;"",VLOOKUP(B45,'Price List'!A:J,2,0),"")</f>
        <v/>
      </c>
      <c r="D45" s="88"/>
      <c r="E45" s="88"/>
      <c r="F45" s="88"/>
      <c r="G45" s="88"/>
      <c r="H45" s="89"/>
      <c r="I45" s="19"/>
      <c r="J45" s="15" t="str">
        <f>IF(B45="","",VLOOKUP(B45,'Price List'!A:J,4,0)*I45)</f>
        <v/>
      </c>
      <c r="K45" s="15" t="str">
        <f>IF(B45="","",(VLOOKUP(B45,'Price List'!A:J,6,0)-(VLOOKUP(B45,'Price List'!A:K,11,0)*$C$28)))</f>
        <v/>
      </c>
      <c r="L45" s="162" t="str">
        <f t="shared" si="1"/>
        <v/>
      </c>
      <c r="M45" s="163"/>
      <c r="N45" s="4"/>
      <c r="O45" s="21" t="str">
        <f>IF(B45&lt;&gt;"",VLOOKUP(B45,'Price List'!A:J,6,0),"")</f>
        <v/>
      </c>
      <c r="P45" s="21" t="str">
        <f t="shared" si="2"/>
        <v/>
      </c>
    </row>
    <row r="46" spans="2:16" x14ac:dyDescent="0.35">
      <c r="B46" s="50"/>
      <c r="C46" s="87" t="str">
        <f>IF(B46&lt;&gt;"",VLOOKUP(B46,'Price List'!A:J,2,0),"")</f>
        <v/>
      </c>
      <c r="D46" s="88"/>
      <c r="E46" s="88"/>
      <c r="F46" s="88"/>
      <c r="G46" s="88"/>
      <c r="H46" s="89"/>
      <c r="I46" s="19"/>
      <c r="J46" s="15" t="str">
        <f>IF(B46="","",VLOOKUP(B46,'Price List'!A:J,4,0)*I46)</f>
        <v/>
      </c>
      <c r="K46" s="15" t="str">
        <f>IF(B46="","",(VLOOKUP(B46,'Price List'!A:J,6,0)-(VLOOKUP(B46,'Price List'!A:K,11,0)*$C$28)))</f>
        <v/>
      </c>
      <c r="L46" s="162" t="str">
        <f t="shared" si="1"/>
        <v/>
      </c>
      <c r="M46" s="163"/>
      <c r="N46" s="4"/>
      <c r="O46" s="21" t="str">
        <f>IF(B46&lt;&gt;"",VLOOKUP(B46,'Price List'!A:J,6,0),"")</f>
        <v/>
      </c>
      <c r="P46" s="21" t="str">
        <f t="shared" si="2"/>
        <v/>
      </c>
    </row>
    <row r="47" spans="2:16" x14ac:dyDescent="0.35">
      <c r="B47" s="50"/>
      <c r="C47" s="87" t="str">
        <f>IF(B47&lt;&gt;"",VLOOKUP(B47,'Price List'!A:J,2,0),"")</f>
        <v/>
      </c>
      <c r="D47" s="88"/>
      <c r="E47" s="88"/>
      <c r="F47" s="88"/>
      <c r="G47" s="88"/>
      <c r="H47" s="89"/>
      <c r="I47" s="19"/>
      <c r="J47" s="15" t="str">
        <f>IF(B47="","",VLOOKUP(B47,'Price List'!A:J,4,0)*I47)</f>
        <v/>
      </c>
      <c r="K47" s="15" t="str">
        <f>IF(B47="","",(VLOOKUP(B47,'Price List'!A:J,6,0)-(VLOOKUP(B47,'Price List'!A:K,11,0)*$C$28)))</f>
        <v/>
      </c>
      <c r="L47" s="162" t="str">
        <f t="shared" si="1"/>
        <v/>
      </c>
      <c r="M47" s="163"/>
      <c r="N47" s="4"/>
      <c r="O47" s="21" t="str">
        <f>IF(B47&lt;&gt;"",VLOOKUP(B47,'Price List'!A:J,6,0),"")</f>
        <v/>
      </c>
      <c r="P47" s="21" t="str">
        <f t="shared" si="2"/>
        <v/>
      </c>
    </row>
    <row r="48" spans="2:16" x14ac:dyDescent="0.35">
      <c r="B48" s="50"/>
      <c r="C48" s="87" t="str">
        <f>IF(B48&lt;&gt;"",VLOOKUP(B48,'Price List'!A:J,2,0),"")</f>
        <v/>
      </c>
      <c r="D48" s="88"/>
      <c r="E48" s="88"/>
      <c r="F48" s="88"/>
      <c r="G48" s="88"/>
      <c r="H48" s="89"/>
      <c r="I48" s="19"/>
      <c r="J48" s="15" t="str">
        <f>IF(B48="","",VLOOKUP(B48,'Price List'!A:J,4,0)*I48)</f>
        <v/>
      </c>
      <c r="K48" s="15" t="str">
        <f>IF(B48="","",(VLOOKUP(B48,'Price List'!A:J,6,0)-(VLOOKUP(B48,'Price List'!A:K,11,0)*$C$28)))</f>
        <v/>
      </c>
      <c r="L48" s="162" t="str">
        <f t="shared" si="1"/>
        <v/>
      </c>
      <c r="M48" s="163"/>
      <c r="N48" s="4"/>
      <c r="O48" s="21" t="str">
        <f>IF(B48&lt;&gt;"",VLOOKUP(B48,'Price List'!A:J,6,0),"")</f>
        <v/>
      </c>
      <c r="P48" s="21" t="str">
        <f t="shared" si="2"/>
        <v/>
      </c>
    </row>
    <row r="49" spans="2:16" x14ac:dyDescent="0.35">
      <c r="B49" s="50"/>
      <c r="C49" s="87" t="str">
        <f>IF(B49&lt;&gt;"",VLOOKUP(B49,'Price List'!A:J,2,0),"")</f>
        <v/>
      </c>
      <c r="D49" s="88"/>
      <c r="E49" s="88"/>
      <c r="F49" s="88"/>
      <c r="G49" s="88"/>
      <c r="H49" s="89"/>
      <c r="I49" s="19"/>
      <c r="J49" s="15" t="str">
        <f>IF(B49="","",VLOOKUP(B49,'Price List'!A:J,4,0)*I49)</f>
        <v/>
      </c>
      <c r="K49" s="15" t="str">
        <f>IF(B49="","",(VLOOKUP(B49,'Price List'!A:J,6,0)-(VLOOKUP(B49,'Price List'!A:K,11,0)*$C$28)))</f>
        <v/>
      </c>
      <c r="L49" s="162" t="str">
        <f t="shared" si="1"/>
        <v/>
      </c>
      <c r="M49" s="163"/>
      <c r="N49" s="4"/>
      <c r="O49" s="21" t="str">
        <f>IF(B49&lt;&gt;"",VLOOKUP(B49,'Price List'!A:J,6,0),"")</f>
        <v/>
      </c>
      <c r="P49" s="21" t="str">
        <f t="shared" si="2"/>
        <v/>
      </c>
    </row>
    <row r="50" spans="2:16" x14ac:dyDescent="0.35">
      <c r="B50" s="50"/>
      <c r="C50" s="87" t="str">
        <f>IF(B50&lt;&gt;"",VLOOKUP(B50,'Price List'!A:J,2,0),"")</f>
        <v/>
      </c>
      <c r="D50" s="88"/>
      <c r="E50" s="88"/>
      <c r="F50" s="88"/>
      <c r="G50" s="88"/>
      <c r="H50" s="89"/>
      <c r="I50" s="19"/>
      <c r="J50" s="15" t="str">
        <f>IF(B50="","",VLOOKUP(B50,'Price List'!A:J,4,0)*I50)</f>
        <v/>
      </c>
      <c r="K50" s="15" t="str">
        <f>IF(B50="","",(VLOOKUP(B50,'Price List'!A:J,6,0)-(VLOOKUP(B50,'Price List'!A:K,11,0)*$C$28)))</f>
        <v/>
      </c>
      <c r="L50" s="162" t="str">
        <f t="shared" si="1"/>
        <v/>
      </c>
      <c r="M50" s="163"/>
      <c r="N50" s="4"/>
      <c r="O50" s="21" t="str">
        <f>IF(B50&lt;&gt;"",VLOOKUP(B50,'Price List'!A:J,6,0),"")</f>
        <v/>
      </c>
      <c r="P50" s="21" t="str">
        <f t="shared" si="2"/>
        <v/>
      </c>
    </row>
    <row r="51" spans="2:16" x14ac:dyDescent="0.35">
      <c r="B51" s="50"/>
      <c r="C51" s="87" t="str">
        <f>IF(B51&lt;&gt;"",VLOOKUP(B51,'Price List'!A:J,2,0),"")</f>
        <v/>
      </c>
      <c r="D51" s="88"/>
      <c r="E51" s="88"/>
      <c r="F51" s="88"/>
      <c r="G51" s="88"/>
      <c r="H51" s="89"/>
      <c r="I51" s="19"/>
      <c r="J51" s="15" t="str">
        <f>IF(B51="","",VLOOKUP(B51,'Price List'!A:J,4,0)*I51)</f>
        <v/>
      </c>
      <c r="K51" s="15" t="str">
        <f>IF(B51="","",(VLOOKUP(B51,'Price List'!A:J,6,0)-(VLOOKUP(B51,'Price List'!A:K,11,0)*$C$28)))</f>
        <v/>
      </c>
      <c r="L51" s="162" t="str">
        <f t="shared" si="1"/>
        <v/>
      </c>
      <c r="M51" s="163"/>
      <c r="N51" s="4"/>
      <c r="O51" s="21" t="str">
        <f>IF(B51&lt;&gt;"",VLOOKUP(B51,'Price List'!A:J,6,0),"")</f>
        <v/>
      </c>
      <c r="P51" s="21" t="str">
        <f t="shared" si="2"/>
        <v/>
      </c>
    </row>
    <row r="52" spans="2:16" x14ac:dyDescent="0.35">
      <c r="B52" s="50"/>
      <c r="C52" s="87" t="str">
        <f>IF(B52&lt;&gt;"",VLOOKUP(B52,'Price List'!A:J,2,0),"")</f>
        <v/>
      </c>
      <c r="D52" s="88"/>
      <c r="E52" s="88"/>
      <c r="F52" s="88"/>
      <c r="G52" s="88"/>
      <c r="H52" s="89"/>
      <c r="I52" s="19"/>
      <c r="J52" s="15" t="str">
        <f>IF(B52="","",VLOOKUP(B52,'Price List'!A:J,4,0)*I52)</f>
        <v/>
      </c>
      <c r="K52" s="15" t="str">
        <f>IF(B52="","",(VLOOKUP(B52,'Price List'!A:J,6,0)-(VLOOKUP(B52,'Price List'!A:K,11,0)*$C$28)))</f>
        <v/>
      </c>
      <c r="L52" s="162" t="str">
        <f t="shared" si="1"/>
        <v/>
      </c>
      <c r="M52" s="163"/>
      <c r="N52" s="4"/>
      <c r="O52" s="21" t="str">
        <f>IF(B52&lt;&gt;"",VLOOKUP(B52,'Price List'!A:J,6,0),"")</f>
        <v/>
      </c>
      <c r="P52" s="21" t="str">
        <f t="shared" si="2"/>
        <v/>
      </c>
    </row>
    <row r="53" spans="2:16" x14ac:dyDescent="0.35">
      <c r="B53" s="50"/>
      <c r="C53" s="87" t="str">
        <f>IF(B53&lt;&gt;"",VLOOKUP(B53,'Price List'!A:J,2,0),"")</f>
        <v/>
      </c>
      <c r="D53" s="88"/>
      <c r="E53" s="88"/>
      <c r="F53" s="88"/>
      <c r="G53" s="88"/>
      <c r="H53" s="89"/>
      <c r="I53" s="19"/>
      <c r="J53" s="15" t="str">
        <f>IF(B53="","",VLOOKUP(B53,'Price List'!A:J,4,0)*I53)</f>
        <v/>
      </c>
      <c r="K53" s="15" t="str">
        <f>IF(B53="","",(VLOOKUP(B53,'Price List'!A:J,6,0)-(VLOOKUP(B53,'Price List'!A:K,11,0)*$C$28)))</f>
        <v/>
      </c>
      <c r="L53" s="162" t="str">
        <f t="shared" si="1"/>
        <v/>
      </c>
      <c r="M53" s="163"/>
      <c r="N53" s="4"/>
      <c r="O53" s="21" t="str">
        <f>IF(B53&lt;&gt;"",VLOOKUP(B53,'Price List'!A:J,6,0),"")</f>
        <v/>
      </c>
      <c r="P53" s="21" t="str">
        <f t="shared" si="2"/>
        <v/>
      </c>
    </row>
    <row r="54" spans="2:16" x14ac:dyDescent="0.35">
      <c r="B54" s="50"/>
      <c r="C54" s="87" t="str">
        <f>IF(B54&lt;&gt;"",VLOOKUP(B54,'Price List'!A:J,2,0),"")</f>
        <v/>
      </c>
      <c r="D54" s="88"/>
      <c r="E54" s="88"/>
      <c r="F54" s="88"/>
      <c r="G54" s="88"/>
      <c r="H54" s="89"/>
      <c r="I54" s="19"/>
      <c r="J54" s="15" t="str">
        <f>IF(B54="","",VLOOKUP(B54,'Price List'!A:J,4,0)*I54)</f>
        <v/>
      </c>
      <c r="K54" s="15" t="str">
        <f>IF(B54="","",(VLOOKUP(B54,'Price List'!A:J,6,0)-(VLOOKUP(B54,'Price List'!A:K,11,0)*$C$28)))</f>
        <v/>
      </c>
      <c r="L54" s="162" t="str">
        <f t="shared" si="1"/>
        <v/>
      </c>
      <c r="M54" s="163"/>
      <c r="N54" s="4"/>
      <c r="O54" s="21" t="str">
        <f>IF(B54&lt;&gt;"",VLOOKUP(B54,'Price List'!A:J,6,0),"")</f>
        <v/>
      </c>
      <c r="P54" s="21" t="str">
        <f t="shared" si="2"/>
        <v/>
      </c>
    </row>
    <row r="55" spans="2:16" x14ac:dyDescent="0.35">
      <c r="B55" s="50"/>
      <c r="C55" s="87" t="str">
        <f>IF(B55&lt;&gt;"",VLOOKUP(B55,'Price List'!A:J,2,0),"")</f>
        <v/>
      </c>
      <c r="D55" s="88"/>
      <c r="E55" s="88"/>
      <c r="F55" s="88"/>
      <c r="G55" s="88"/>
      <c r="H55" s="89"/>
      <c r="I55" s="19"/>
      <c r="J55" s="15" t="str">
        <f>IF(B55="","",VLOOKUP(B55,'Price List'!A:J,4,0)*I55)</f>
        <v/>
      </c>
      <c r="K55" s="15" t="str">
        <f>IF(B55="","",(VLOOKUP(B55,'Price List'!A:J,6,0)-(VLOOKUP(B55,'Price List'!A:K,11,0)*$C$28)))</f>
        <v/>
      </c>
      <c r="L55" s="162" t="str">
        <f t="shared" si="1"/>
        <v/>
      </c>
      <c r="M55" s="163"/>
      <c r="N55" s="4"/>
      <c r="O55" s="21" t="str">
        <f>IF(B55&lt;&gt;"",VLOOKUP(B55,'Price List'!A:J,6,0),"")</f>
        <v/>
      </c>
      <c r="P55" s="21" t="str">
        <f t="shared" si="2"/>
        <v/>
      </c>
    </row>
    <row r="56" spans="2:16" x14ac:dyDescent="0.35">
      <c r="B56" s="50"/>
      <c r="C56" s="87" t="str">
        <f>IF(B56&lt;&gt;"",VLOOKUP(B56,'Price List'!A:J,2,0),"")</f>
        <v/>
      </c>
      <c r="D56" s="88"/>
      <c r="E56" s="88"/>
      <c r="F56" s="88"/>
      <c r="G56" s="88"/>
      <c r="H56" s="89"/>
      <c r="I56" s="19"/>
      <c r="J56" s="15" t="str">
        <f>IF(B56="","",VLOOKUP(B56,'Price List'!A:J,4,0)*I56)</f>
        <v/>
      </c>
      <c r="K56" s="15" t="str">
        <f>IF(B56="","",(VLOOKUP(B56,'Price List'!A:J,6,0)-(VLOOKUP(B56,'Price List'!A:K,11,0)*$C$28)))</f>
        <v/>
      </c>
      <c r="L56" s="162" t="str">
        <f t="shared" si="1"/>
        <v/>
      </c>
      <c r="M56" s="163"/>
      <c r="N56" s="4"/>
      <c r="O56" s="21" t="str">
        <f>IF(B56&lt;&gt;"",VLOOKUP(B56,'Price List'!A:J,6,0),"")</f>
        <v/>
      </c>
      <c r="P56" s="21" t="str">
        <f t="shared" si="2"/>
        <v/>
      </c>
    </row>
    <row r="57" spans="2:16" x14ac:dyDescent="0.35">
      <c r="B57" s="50"/>
      <c r="C57" s="87" t="str">
        <f>IF(B57&lt;&gt;"",VLOOKUP(B57,'Price List'!A:J,2,0),"")</f>
        <v/>
      </c>
      <c r="D57" s="88"/>
      <c r="E57" s="88"/>
      <c r="F57" s="88"/>
      <c r="G57" s="88"/>
      <c r="H57" s="89"/>
      <c r="I57" s="19"/>
      <c r="J57" s="15" t="str">
        <f>IF(B57="","",VLOOKUP(B57,'Price List'!A:J,4,0)*I57)</f>
        <v/>
      </c>
      <c r="K57" s="15" t="str">
        <f>IF(B57="","",(VLOOKUP(B57,'Price List'!A:J,6,0)-(VLOOKUP(B57,'Price List'!A:K,11,0)*$C$28)))</f>
        <v/>
      </c>
      <c r="L57" s="162" t="str">
        <f t="shared" si="1"/>
        <v/>
      </c>
      <c r="M57" s="163"/>
      <c r="N57" s="4"/>
      <c r="O57" s="21" t="str">
        <f>IF(B57&lt;&gt;"",VLOOKUP(B57,'Price List'!A:J,6,0),"")</f>
        <v/>
      </c>
      <c r="P57" s="21" t="str">
        <f>IF(B57="","",O57*I57)</f>
        <v/>
      </c>
    </row>
    <row r="58" spans="2:16" x14ac:dyDescent="0.35">
      <c r="B58" s="50"/>
      <c r="C58" s="87" t="str">
        <f>IF(B58&lt;&gt;"",VLOOKUP(B58,'Price List'!A:J,2,0),"")</f>
        <v/>
      </c>
      <c r="D58" s="88"/>
      <c r="E58" s="88"/>
      <c r="F58" s="88"/>
      <c r="G58" s="88"/>
      <c r="H58" s="89"/>
      <c r="I58" s="19"/>
      <c r="J58" s="15" t="str">
        <f>IF(B58="","",VLOOKUP(B58,'Price List'!A:J,4,0)*I58)</f>
        <v/>
      </c>
      <c r="K58" s="15" t="str">
        <f>IF(B58="","",(VLOOKUP(B58,'Price List'!A:J,6,0)-(VLOOKUP(B58,'Price List'!A:K,11,0)*$C$28)))</f>
        <v/>
      </c>
      <c r="L58" s="162" t="str">
        <f t="shared" si="1"/>
        <v/>
      </c>
      <c r="M58" s="163"/>
      <c r="N58" s="4"/>
      <c r="O58" s="21" t="str">
        <f>IF(B58&lt;&gt;"",VLOOKUP(B58,'Price List'!A:J,6,0),"")</f>
        <v/>
      </c>
      <c r="P58" s="21" t="str">
        <f>IF(B58="","",O58*I58)</f>
        <v/>
      </c>
    </row>
    <row r="59" spans="2:16" x14ac:dyDescent="0.35">
      <c r="B59" s="14"/>
      <c r="C59" s="14"/>
      <c r="D59" s="14"/>
      <c r="E59" s="14"/>
      <c r="F59" s="14"/>
      <c r="G59" s="14"/>
      <c r="H59" s="14"/>
      <c r="I59" s="137" t="s">
        <v>37</v>
      </c>
      <c r="J59" s="137"/>
      <c r="K59" s="137"/>
      <c r="L59" s="139">
        <f>SUM(L32:M58)</f>
        <v>0</v>
      </c>
      <c r="M59" s="140"/>
      <c r="N59" s="1"/>
      <c r="O59" s="21" t="str">
        <f>IF(B59&lt;&gt;"",VLOOKUP(B59,'Price List'!A:J,6,0),"")</f>
        <v/>
      </c>
      <c r="P59" s="21" t="str">
        <f>IF(B59="","",O59*I59)</f>
        <v/>
      </c>
    </row>
    <row r="60" spans="2:16" ht="15.5" x14ac:dyDescent="0.35">
      <c r="B60" s="35" t="s">
        <v>38</v>
      </c>
      <c r="C60" s="36"/>
      <c r="D60" s="36"/>
      <c r="E60" s="36"/>
      <c r="F60" s="36"/>
      <c r="G60" s="36"/>
      <c r="H60" s="37"/>
      <c r="I60" s="137" t="s">
        <v>39</v>
      </c>
      <c r="J60" s="137"/>
      <c r="K60" s="137"/>
      <c r="L60" s="141">
        <f>IF(AND(N13=4,P60&lt;1000.99),15,IF(AND(N13=5,P60&lt;1000.99),30,0))*1.06</f>
        <v>0</v>
      </c>
      <c r="M60" s="140"/>
      <c r="N60" s="1"/>
      <c r="O60" s="20"/>
      <c r="P60" s="21">
        <f>SUM(P32:P59)</f>
        <v>0</v>
      </c>
    </row>
    <row r="61" spans="2:16" x14ac:dyDescent="0.35">
      <c r="B61" s="145" t="s">
        <v>40</v>
      </c>
      <c r="C61" s="145"/>
      <c r="D61" s="145"/>
      <c r="E61" s="145"/>
      <c r="F61" s="139">
        <f>SUM(J32:J58)</f>
        <v>0</v>
      </c>
      <c r="G61" s="139"/>
      <c r="H61" s="139"/>
      <c r="I61" s="138" t="s">
        <v>41</v>
      </c>
      <c r="J61" s="137"/>
      <c r="K61" s="137"/>
      <c r="L61" s="142">
        <f>SUM(L59:M60)</f>
        <v>0</v>
      </c>
      <c r="M61" s="143"/>
      <c r="N61" s="1"/>
    </row>
    <row r="62" spans="2:16" x14ac:dyDescent="0.35">
      <c r="B62" s="145" t="s">
        <v>42</v>
      </c>
      <c r="C62" s="145"/>
      <c r="D62" s="145"/>
      <c r="E62" s="145"/>
      <c r="F62" s="139">
        <v>0</v>
      </c>
      <c r="G62" s="139"/>
      <c r="H62" s="139"/>
      <c r="I62" s="14"/>
      <c r="J62" s="14"/>
      <c r="K62" s="14"/>
      <c r="L62" s="14"/>
      <c r="N62" s="1"/>
    </row>
    <row r="63" spans="2:16" x14ac:dyDescent="0.35">
      <c r="B63" s="145" t="s">
        <v>43</v>
      </c>
      <c r="C63" s="145"/>
      <c r="D63" s="145"/>
      <c r="E63" s="145"/>
      <c r="F63" s="139">
        <v>0</v>
      </c>
      <c r="G63" s="139"/>
      <c r="H63" s="139"/>
      <c r="I63" s="14"/>
      <c r="J63" s="14"/>
      <c r="K63" s="14"/>
      <c r="L63" s="14"/>
      <c r="N63" s="1"/>
    </row>
    <row r="64" spans="2:16" x14ac:dyDescent="0.35">
      <c r="B64" s="16" t="s">
        <v>44</v>
      </c>
      <c r="C64" s="16"/>
      <c r="D64" s="16"/>
      <c r="E64" s="16"/>
      <c r="F64" s="16"/>
      <c r="G64" s="16"/>
      <c r="H64" s="16"/>
      <c r="I64" s="14"/>
      <c r="J64" s="17"/>
      <c r="K64" s="14"/>
      <c r="L64" s="14"/>
    </row>
    <row r="65" spans="2:12" x14ac:dyDescent="0.35">
      <c r="B65" s="144" t="s">
        <v>45</v>
      </c>
      <c r="C65" s="144"/>
      <c r="D65" s="144"/>
      <c r="E65" s="144"/>
      <c r="F65" s="144"/>
      <c r="G65" s="144"/>
      <c r="H65" s="144"/>
      <c r="I65" s="14"/>
      <c r="J65" s="17"/>
      <c r="K65" s="14"/>
      <c r="L65" s="14"/>
    </row>
    <row r="66" spans="2:12" x14ac:dyDescent="0.35">
      <c r="B66" s="144" t="s">
        <v>46</v>
      </c>
      <c r="C66" s="144"/>
      <c r="D66" s="144"/>
      <c r="E66" s="144"/>
      <c r="F66" s="144"/>
      <c r="G66" s="144"/>
      <c r="H66" s="144"/>
      <c r="I66" s="14"/>
      <c r="J66" s="14"/>
      <c r="K66" s="14"/>
      <c r="L66" s="14"/>
    </row>
    <row r="67" spans="2:12" x14ac:dyDescent="0.35">
      <c r="B67" s="144" t="s">
        <v>47</v>
      </c>
      <c r="C67" s="144"/>
      <c r="D67" s="144"/>
      <c r="E67" s="144"/>
      <c r="F67" s="144"/>
      <c r="G67" s="144"/>
      <c r="H67" s="144"/>
      <c r="I67" s="14"/>
      <c r="J67" s="17"/>
      <c r="K67" s="14"/>
      <c r="L67" s="14"/>
    </row>
    <row r="68" spans="2:12" x14ac:dyDescent="0.3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</row>
    <row r="69" spans="2:12" x14ac:dyDescent="0.3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</row>
    <row r="70" spans="2:12" x14ac:dyDescent="0.3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</row>
    <row r="71" spans="2:12" x14ac:dyDescent="0.3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2:12" x14ac:dyDescent="0.35"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</row>
    <row r="73" spans="2:12" x14ac:dyDescent="0.35"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</row>
    <row r="74" spans="2:12" x14ac:dyDescent="0.35"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</row>
    <row r="75" spans="2:12" x14ac:dyDescent="0.35"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</row>
    <row r="76" spans="2:12" x14ac:dyDescent="0.35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</row>
    <row r="77" spans="2:12" x14ac:dyDescent="0.35"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</row>
    <row r="78" spans="2:12" x14ac:dyDescent="0.35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</row>
    <row r="79" spans="2:12" x14ac:dyDescent="0.35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</row>
    <row r="80" spans="2:12" x14ac:dyDescent="0.35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</row>
    <row r="81" spans="2:12" x14ac:dyDescent="0.35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</row>
    <row r="82" spans="2:12" x14ac:dyDescent="0.35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</row>
    <row r="83" spans="2:12" x14ac:dyDescent="0.35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</row>
    <row r="84" spans="2:12" x14ac:dyDescent="0.35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</row>
    <row r="85" spans="2:12" x14ac:dyDescent="0.35"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spans="2:12" x14ac:dyDescent="0.35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</row>
    <row r="87" spans="2:12" x14ac:dyDescent="0.35"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</row>
    <row r="88" spans="2:12" x14ac:dyDescent="0.35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</row>
    <row r="89" spans="2:12" x14ac:dyDescent="0.35"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</row>
    <row r="90" spans="2:12" x14ac:dyDescent="0.35"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</row>
    <row r="91" spans="2:12" x14ac:dyDescent="0.35"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</row>
    <row r="92" spans="2:12" x14ac:dyDescent="0.35"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</row>
    <row r="93" spans="2:12" x14ac:dyDescent="0.35"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</row>
    <row r="94" spans="2:12" x14ac:dyDescent="0.35"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</row>
    <row r="95" spans="2:12" x14ac:dyDescent="0.35">
      <c r="B95" s="14"/>
      <c r="C95" s="14"/>
      <c r="D95" s="14"/>
      <c r="E95" s="14"/>
      <c r="F95" s="14"/>
      <c r="G95" s="14"/>
      <c r="H95" s="14"/>
    </row>
    <row r="96" spans="2:12" x14ac:dyDescent="0.35">
      <c r="B96" s="14"/>
      <c r="C96" s="14"/>
      <c r="D96" s="14"/>
      <c r="E96" s="14"/>
      <c r="F96" s="14"/>
      <c r="G96" s="14"/>
      <c r="H96" s="14"/>
    </row>
  </sheetData>
  <sheetProtection algorithmName="SHA-512" hashValue="I/iutnhoPp9NSRu3n9WGE7++QSgjbaTTe9HuhxfFuxgvxp+PwkeUUNSuIewl/dRXOn/sklRgIjJrmIvMg4swTA==" saltValue="SqEh/AOkldaPTzHpLqxnfA==" spinCount="100000" sheet="1" objects="1" scenarios="1"/>
  <protectedRanges>
    <protectedRange sqref="B32:I32 B46:B58 C33:I58" name="Range4"/>
    <protectedRange sqref="M13" name="Range3"/>
    <protectedRange sqref="H25:M26" name="Range1"/>
    <protectedRange sqref="J21:M24" name="Range2"/>
  </protectedRanges>
  <mergeCells count="114">
    <mergeCell ref="L37:M37"/>
    <mergeCell ref="L38:M38"/>
    <mergeCell ref="L39:M39"/>
    <mergeCell ref="L40:M40"/>
    <mergeCell ref="L41:M41"/>
    <mergeCell ref="L57:M57"/>
    <mergeCell ref="L58:M58"/>
    <mergeCell ref="L52:M52"/>
    <mergeCell ref="L53:M53"/>
    <mergeCell ref="L54:M54"/>
    <mergeCell ref="L55:M55"/>
    <mergeCell ref="L56:M56"/>
    <mergeCell ref="L47:M47"/>
    <mergeCell ref="L48:M48"/>
    <mergeCell ref="L49:M49"/>
    <mergeCell ref="L50:M50"/>
    <mergeCell ref="L51:M51"/>
    <mergeCell ref="L34:M34"/>
    <mergeCell ref="L35:M35"/>
    <mergeCell ref="L36:M36"/>
    <mergeCell ref="O30:O31"/>
    <mergeCell ref="P30:P31"/>
    <mergeCell ref="J24:M24"/>
    <mergeCell ref="H25:M26"/>
    <mergeCell ref="L30:M31"/>
    <mergeCell ref="K30:K31"/>
    <mergeCell ref="J30:J31"/>
    <mergeCell ref="B67:H67"/>
    <mergeCell ref="C35:H35"/>
    <mergeCell ref="C36:H36"/>
    <mergeCell ref="C37:H37"/>
    <mergeCell ref="C38:H38"/>
    <mergeCell ref="C39:H39"/>
    <mergeCell ref="C58:H58"/>
    <mergeCell ref="C53:H53"/>
    <mergeCell ref="C54:H54"/>
    <mergeCell ref="C46:H46"/>
    <mergeCell ref="B65:H65"/>
    <mergeCell ref="C49:H49"/>
    <mergeCell ref="C55:H55"/>
    <mergeCell ref="C56:H56"/>
    <mergeCell ref="C57:H57"/>
    <mergeCell ref="C51:H51"/>
    <mergeCell ref="B66:H66"/>
    <mergeCell ref="C45:H45"/>
    <mergeCell ref="C48:H48"/>
    <mergeCell ref="B61:E61"/>
    <mergeCell ref="B62:E62"/>
    <mergeCell ref="B63:E63"/>
    <mergeCell ref="F62:H62"/>
    <mergeCell ref="F63:H63"/>
    <mergeCell ref="I59:K59"/>
    <mergeCell ref="I60:K60"/>
    <mergeCell ref="I61:K61"/>
    <mergeCell ref="L59:M59"/>
    <mergeCell ref="L60:M60"/>
    <mergeCell ref="L61:M61"/>
    <mergeCell ref="C41:H41"/>
    <mergeCell ref="C47:H47"/>
    <mergeCell ref="F61:H61"/>
    <mergeCell ref="C44:H44"/>
    <mergeCell ref="L42:M42"/>
    <mergeCell ref="L43:M43"/>
    <mergeCell ref="L44:M44"/>
    <mergeCell ref="L45:M45"/>
    <mergeCell ref="L46:M46"/>
    <mergeCell ref="C40:H40"/>
    <mergeCell ref="C42:H42"/>
    <mergeCell ref="C43:H43"/>
    <mergeCell ref="C52:H52"/>
    <mergeCell ref="C50:H50"/>
    <mergeCell ref="I13:J13"/>
    <mergeCell ref="C32:H32"/>
    <mergeCell ref="C33:H33"/>
    <mergeCell ref="B25:G26"/>
    <mergeCell ref="B30:B31"/>
    <mergeCell ref="B28:B29"/>
    <mergeCell ref="C28:C29"/>
    <mergeCell ref="D28:M29"/>
    <mergeCell ref="I30:I31"/>
    <mergeCell ref="C30:H31"/>
    <mergeCell ref="H22:I22"/>
    <mergeCell ref="C23:G23"/>
    <mergeCell ref="H19:M19"/>
    <mergeCell ref="H24:I24"/>
    <mergeCell ref="C19:G19"/>
    <mergeCell ref="H20:M20"/>
    <mergeCell ref="I15:M15"/>
    <mergeCell ref="I18:M18"/>
    <mergeCell ref="J23:M23"/>
    <mergeCell ref="L7:M7"/>
    <mergeCell ref="C34:H34"/>
    <mergeCell ref="C24:G24"/>
    <mergeCell ref="J2:M2"/>
    <mergeCell ref="J3:M3"/>
    <mergeCell ref="L10:M10"/>
    <mergeCell ref="L6:M6"/>
    <mergeCell ref="B20:D21"/>
    <mergeCell ref="C15:G15"/>
    <mergeCell ref="E13:F13"/>
    <mergeCell ref="G13:H13"/>
    <mergeCell ref="C18:G18"/>
    <mergeCell ref="E20:G20"/>
    <mergeCell ref="C16:G16"/>
    <mergeCell ref="B13:D13"/>
    <mergeCell ref="K13:L13"/>
    <mergeCell ref="I16:M17"/>
    <mergeCell ref="J21:M21"/>
    <mergeCell ref="J22:M22"/>
    <mergeCell ref="H23:I23"/>
    <mergeCell ref="H16:H17"/>
    <mergeCell ref="H21:I21"/>
    <mergeCell ref="L32:M32"/>
    <mergeCell ref="L33:M33"/>
  </mergeCells>
  <hyperlinks>
    <hyperlink ref="L7" r:id="rId1" xr:uid="{00000000-0004-0000-0000-000000000000}"/>
  </hyperlinks>
  <pageMargins left="0.7" right="0.7" top="0.75" bottom="0.75" header="0.3" footer="0.3"/>
  <pageSetup paperSize="9" scale="65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5" name="Option Button 2">
              <controlPr defaultSize="0" autoFill="0" autoLine="0" autoPict="0">
                <anchor moveWithCells="1">
                  <from>
                    <xdr:col>4</xdr:col>
                    <xdr:colOff>330200</xdr:colOff>
                    <xdr:row>12</xdr:row>
                    <xdr:rowOff>12700</xdr:rowOff>
                  </from>
                  <to>
                    <xdr:col>5</xdr:col>
                    <xdr:colOff>0</xdr:colOff>
                    <xdr:row>12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Option Button 3">
              <controlPr defaultSize="0" autoFill="0" autoLine="0" autoPict="0">
                <anchor moveWithCells="1">
                  <from>
                    <xdr:col>6</xdr:col>
                    <xdr:colOff>177800</xdr:colOff>
                    <xdr:row>12</xdr:row>
                    <xdr:rowOff>12700</xdr:rowOff>
                  </from>
                  <to>
                    <xdr:col>7</xdr:col>
                    <xdr:colOff>596900</xdr:colOff>
                    <xdr:row>12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Option Button 4">
              <controlPr defaultSize="0" autoFill="0" autoLine="0" autoPict="0">
                <anchor moveWithCells="1">
                  <from>
                    <xdr:col>8</xdr:col>
                    <xdr:colOff>292100</xdr:colOff>
                    <xdr:row>12</xdr:row>
                    <xdr:rowOff>12700</xdr:rowOff>
                  </from>
                  <to>
                    <xdr:col>9</xdr:col>
                    <xdr:colOff>577850</xdr:colOff>
                    <xdr:row>12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Option Button 5">
              <controlPr defaultSize="0" autoFill="0" autoLine="0" autoPict="0">
                <anchor moveWithCells="1">
                  <from>
                    <xdr:col>10</xdr:col>
                    <xdr:colOff>177800</xdr:colOff>
                    <xdr:row>12</xdr:row>
                    <xdr:rowOff>12700</xdr:rowOff>
                  </from>
                  <to>
                    <xdr:col>11</xdr:col>
                    <xdr:colOff>431800</xdr:colOff>
                    <xdr:row>12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Option Button 6">
              <controlPr defaultSize="0" autoFill="0" autoLine="0" autoPict="0">
                <anchor moveWithCells="1">
                  <from>
                    <xdr:col>12</xdr:col>
                    <xdr:colOff>184150</xdr:colOff>
                    <xdr:row>12</xdr:row>
                    <xdr:rowOff>6350</xdr:rowOff>
                  </from>
                  <to>
                    <xdr:col>12</xdr:col>
                    <xdr:colOff>1181100</xdr:colOff>
                    <xdr:row>12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138"/>
  <sheetViews>
    <sheetView tabSelected="1" zoomScaleNormal="100" workbookViewId="0">
      <pane ySplit="2" topLeftCell="A96" activePane="bottomLeft" state="frozen"/>
      <selection pane="bottomLeft" activeCell="B99" sqref="B99"/>
    </sheetView>
  </sheetViews>
  <sheetFormatPr defaultColWidth="9.1796875" defaultRowHeight="10.5" x14ac:dyDescent="0.25"/>
  <cols>
    <col min="1" max="1" width="9.1796875" style="52"/>
    <col min="2" max="2" width="56" style="43" customWidth="1"/>
    <col min="3" max="3" width="9.1796875" style="49" customWidth="1"/>
    <col min="4" max="4" width="9.1796875" style="39" customWidth="1"/>
    <col min="5" max="5" width="10.81640625" style="42" customWidth="1"/>
    <col min="6" max="6" width="9.1796875" style="42"/>
    <col min="7" max="10" width="9.1796875" style="41" customWidth="1"/>
    <col min="11" max="11" width="8.1796875" style="39" hidden="1" customWidth="1"/>
    <col min="12" max="12" width="9.1796875" style="43" customWidth="1"/>
    <col min="13" max="16384" width="9.1796875" style="43"/>
  </cols>
  <sheetData>
    <row r="1" spans="1:11" ht="17" customHeight="1" thickBot="1" x14ac:dyDescent="0.3">
      <c r="A1" s="187" t="s">
        <v>277</v>
      </c>
      <c r="B1" s="187"/>
      <c r="C1" s="187"/>
      <c r="D1" s="187"/>
      <c r="E1" s="187"/>
      <c r="F1" s="187"/>
      <c r="G1" s="187"/>
      <c r="H1" s="187"/>
      <c r="I1" s="187"/>
      <c r="J1" s="187"/>
    </row>
    <row r="2" spans="1:11" s="41" customFormat="1" ht="32" thickBot="1" x14ac:dyDescent="0.3">
      <c r="A2" s="79" t="s">
        <v>30</v>
      </c>
      <c r="B2" s="80" t="s">
        <v>31</v>
      </c>
      <c r="C2" s="81" t="s">
        <v>48</v>
      </c>
      <c r="D2" s="82" t="s">
        <v>49</v>
      </c>
      <c r="E2" s="83" t="s">
        <v>50</v>
      </c>
      <c r="F2" s="83" t="s">
        <v>35</v>
      </c>
      <c r="G2" s="84">
        <v>0.25</v>
      </c>
      <c r="H2" s="84">
        <v>0.35</v>
      </c>
      <c r="I2" s="84">
        <v>0.42</v>
      </c>
      <c r="J2" s="85">
        <v>0.5</v>
      </c>
      <c r="K2" s="78" t="s">
        <v>51</v>
      </c>
    </row>
    <row r="3" spans="1:11" x14ac:dyDescent="0.25">
      <c r="A3" s="178" t="s">
        <v>52</v>
      </c>
      <c r="B3" s="178"/>
      <c r="C3" s="178"/>
      <c r="D3" s="178"/>
      <c r="E3" s="178"/>
      <c r="F3" s="178"/>
      <c r="G3" s="178"/>
      <c r="H3" s="178"/>
      <c r="I3" s="178"/>
      <c r="J3" s="178"/>
      <c r="K3" s="44"/>
    </row>
    <row r="4" spans="1:11" x14ac:dyDescent="0.25">
      <c r="A4" s="179" t="s">
        <v>53</v>
      </c>
      <c r="B4" s="179"/>
      <c r="C4" s="179"/>
      <c r="D4" s="179"/>
      <c r="E4" s="179"/>
      <c r="F4" s="179"/>
      <c r="G4" s="179"/>
      <c r="H4" s="179"/>
      <c r="I4" s="179"/>
      <c r="J4" s="179"/>
      <c r="K4" s="40"/>
    </row>
    <row r="5" spans="1:11" x14ac:dyDescent="0.25">
      <c r="A5" s="51" t="s">
        <v>54</v>
      </c>
      <c r="B5" s="48" t="s">
        <v>55</v>
      </c>
      <c r="C5" s="47">
        <v>1</v>
      </c>
      <c r="D5" s="46">
        <v>23.95</v>
      </c>
      <c r="E5" s="46">
        <v>193.92</v>
      </c>
      <c r="F5" s="46">
        <v>212.03</v>
      </c>
      <c r="G5" s="46">
        <v>163.55000000000001</v>
      </c>
      <c r="H5" s="46">
        <v>144.16</v>
      </c>
      <c r="I5" s="46">
        <v>130.58000000000001</v>
      </c>
      <c r="J5" s="46">
        <v>115.07</v>
      </c>
      <c r="K5" s="73">
        <v>193.92</v>
      </c>
    </row>
    <row r="6" spans="1:11" x14ac:dyDescent="0.25">
      <c r="A6" s="51" t="s">
        <v>56</v>
      </c>
      <c r="B6" s="48" t="s">
        <v>57</v>
      </c>
      <c r="C6" s="47">
        <v>1</v>
      </c>
      <c r="D6" s="46">
        <v>23.95</v>
      </c>
      <c r="E6" s="46">
        <v>193.92</v>
      </c>
      <c r="F6" s="46">
        <v>212.03</v>
      </c>
      <c r="G6" s="46">
        <v>163.55000000000001</v>
      </c>
      <c r="H6" s="46">
        <v>144.16</v>
      </c>
      <c r="I6" s="46">
        <v>130.58000000000001</v>
      </c>
      <c r="J6" s="46">
        <v>115.07</v>
      </c>
      <c r="K6" s="73">
        <v>193.92</v>
      </c>
    </row>
    <row r="7" spans="1:11" x14ac:dyDescent="0.25">
      <c r="A7" s="51" t="s">
        <v>58</v>
      </c>
      <c r="B7" s="48" t="s">
        <v>59</v>
      </c>
      <c r="C7" s="47">
        <v>1</v>
      </c>
      <c r="D7" s="46">
        <v>23.95</v>
      </c>
      <c r="E7" s="46">
        <v>193.92</v>
      </c>
      <c r="F7" s="46">
        <v>212.03</v>
      </c>
      <c r="G7" s="46">
        <v>163.55000000000001</v>
      </c>
      <c r="H7" s="46">
        <v>144.16</v>
      </c>
      <c r="I7" s="46">
        <v>130.58000000000001</v>
      </c>
      <c r="J7" s="46">
        <v>115.07</v>
      </c>
      <c r="K7" s="73">
        <v>193.92</v>
      </c>
    </row>
    <row r="8" spans="1:11" x14ac:dyDescent="0.25">
      <c r="A8" s="51" t="s">
        <v>60</v>
      </c>
      <c r="B8" s="48" t="s">
        <v>61</v>
      </c>
      <c r="C8" s="47">
        <v>1</v>
      </c>
      <c r="D8" s="46">
        <v>23.95</v>
      </c>
      <c r="E8" s="46">
        <v>193.92</v>
      </c>
      <c r="F8" s="46">
        <v>212.03</v>
      </c>
      <c r="G8" s="46">
        <v>163.55000000000001</v>
      </c>
      <c r="H8" s="46">
        <v>144.16</v>
      </c>
      <c r="I8" s="46">
        <v>130.58000000000001</v>
      </c>
      <c r="J8" s="46">
        <v>115.07</v>
      </c>
      <c r="K8" s="73">
        <v>193.92</v>
      </c>
    </row>
    <row r="9" spans="1:11" x14ac:dyDescent="0.25">
      <c r="A9" s="51" t="s">
        <v>62</v>
      </c>
      <c r="B9" s="48" t="s">
        <v>63</v>
      </c>
      <c r="C9" s="47">
        <v>1</v>
      </c>
      <c r="D9" s="46">
        <v>23.95</v>
      </c>
      <c r="E9" s="46">
        <v>193.92</v>
      </c>
      <c r="F9" s="46">
        <v>212.03</v>
      </c>
      <c r="G9" s="46">
        <v>163.55000000000001</v>
      </c>
      <c r="H9" s="46">
        <v>144.16</v>
      </c>
      <c r="I9" s="46">
        <v>130.58000000000001</v>
      </c>
      <c r="J9" s="46">
        <v>115.07</v>
      </c>
      <c r="K9" s="73">
        <v>193.92</v>
      </c>
    </row>
    <row r="10" spans="1:11" x14ac:dyDescent="0.25">
      <c r="A10" s="51" t="s">
        <v>64</v>
      </c>
      <c r="B10" s="48" t="s">
        <v>65</v>
      </c>
      <c r="C10" s="47">
        <v>1</v>
      </c>
      <c r="D10" s="46">
        <v>23.95</v>
      </c>
      <c r="E10" s="46">
        <v>193.92</v>
      </c>
      <c r="F10" s="46">
        <v>212.03</v>
      </c>
      <c r="G10" s="46">
        <v>163.55000000000001</v>
      </c>
      <c r="H10" s="46">
        <v>144.16</v>
      </c>
      <c r="I10" s="46">
        <v>130.58000000000001</v>
      </c>
      <c r="J10" s="46">
        <v>115.07</v>
      </c>
      <c r="K10" s="73">
        <v>193.92</v>
      </c>
    </row>
    <row r="11" spans="1:11" x14ac:dyDescent="0.25">
      <c r="A11" s="51" t="s">
        <v>66</v>
      </c>
      <c r="B11" s="48" t="s">
        <v>67</v>
      </c>
      <c r="C11" s="47">
        <v>1</v>
      </c>
      <c r="D11" s="46">
        <v>30.65</v>
      </c>
      <c r="E11" s="46">
        <v>268.86</v>
      </c>
      <c r="F11" s="46">
        <v>293.95999999999998</v>
      </c>
      <c r="G11" s="46">
        <v>226.74</v>
      </c>
      <c r="H11" s="46">
        <v>199.86</v>
      </c>
      <c r="I11" s="46">
        <v>181.04</v>
      </c>
      <c r="J11" s="46">
        <v>159.53</v>
      </c>
      <c r="K11" s="73">
        <v>268.86</v>
      </c>
    </row>
    <row r="12" spans="1:11" x14ac:dyDescent="0.25">
      <c r="A12" s="51" t="s">
        <v>68</v>
      </c>
      <c r="B12" s="48" t="s">
        <v>69</v>
      </c>
      <c r="C12" s="47">
        <v>1</v>
      </c>
      <c r="D12" s="46">
        <v>17.95</v>
      </c>
      <c r="E12" s="46">
        <v>152.91</v>
      </c>
      <c r="F12" s="46">
        <v>174.41</v>
      </c>
      <c r="G12" s="46">
        <v>136.18</v>
      </c>
      <c r="H12" s="46">
        <v>120.89</v>
      </c>
      <c r="I12" s="46">
        <v>110.19</v>
      </c>
      <c r="J12" s="46">
        <v>97.95</v>
      </c>
      <c r="K12" s="73">
        <v>152.91</v>
      </c>
    </row>
    <row r="13" spans="1:11" x14ac:dyDescent="0.25">
      <c r="A13" s="51" t="s">
        <v>70</v>
      </c>
      <c r="B13" s="48" t="s">
        <v>71</v>
      </c>
      <c r="C13" s="47">
        <v>1</v>
      </c>
      <c r="D13" s="46">
        <v>19.95</v>
      </c>
      <c r="E13" s="46">
        <v>162.11000000000001</v>
      </c>
      <c r="F13" s="46">
        <v>177.25</v>
      </c>
      <c r="G13" s="46">
        <v>136.72</v>
      </c>
      <c r="H13" s="46">
        <v>120.51</v>
      </c>
      <c r="I13" s="46">
        <v>109.16</v>
      </c>
      <c r="J13" s="46">
        <v>96.19</v>
      </c>
      <c r="K13" s="73">
        <v>162.11000000000001</v>
      </c>
    </row>
    <row r="14" spans="1:11" x14ac:dyDescent="0.25">
      <c r="A14" s="51" t="s">
        <v>72</v>
      </c>
      <c r="B14" s="48" t="s">
        <v>73</v>
      </c>
      <c r="C14" s="47">
        <v>1</v>
      </c>
      <c r="D14" s="46">
        <v>34.950000000000003</v>
      </c>
      <c r="E14" s="46">
        <v>280.91000000000003</v>
      </c>
      <c r="F14" s="46">
        <v>307.14</v>
      </c>
      <c r="G14" s="46">
        <v>236.91</v>
      </c>
      <c r="H14" s="46">
        <v>208.82</v>
      </c>
      <c r="I14" s="46">
        <v>189.16</v>
      </c>
      <c r="J14" s="46">
        <v>166.68</v>
      </c>
      <c r="K14" s="73">
        <v>280.91000000000003</v>
      </c>
    </row>
    <row r="15" spans="1:11" x14ac:dyDescent="0.25">
      <c r="A15" s="51" t="s">
        <v>74</v>
      </c>
      <c r="B15" s="48" t="s">
        <v>75</v>
      </c>
      <c r="C15" s="47">
        <v>1</v>
      </c>
      <c r="D15" s="46">
        <v>34.950000000000003</v>
      </c>
      <c r="E15" s="46">
        <v>280.91000000000003</v>
      </c>
      <c r="F15" s="46">
        <v>307.14</v>
      </c>
      <c r="G15" s="46">
        <v>236.91</v>
      </c>
      <c r="H15" s="46">
        <v>208.82</v>
      </c>
      <c r="I15" s="46">
        <v>189.16</v>
      </c>
      <c r="J15" s="46">
        <v>166.68</v>
      </c>
      <c r="K15" s="73">
        <v>280.91000000000003</v>
      </c>
    </row>
    <row r="16" spans="1:11" x14ac:dyDescent="0.25">
      <c r="A16" s="51" t="s">
        <v>76</v>
      </c>
      <c r="B16" s="48" t="s">
        <v>77</v>
      </c>
      <c r="C16" s="47">
        <v>1</v>
      </c>
      <c r="D16" s="46">
        <v>34.950000000000003</v>
      </c>
      <c r="E16" s="46">
        <v>280.91000000000003</v>
      </c>
      <c r="F16" s="46">
        <v>307.14</v>
      </c>
      <c r="G16" s="46">
        <v>236.91</v>
      </c>
      <c r="H16" s="46">
        <v>208.82</v>
      </c>
      <c r="I16" s="46">
        <v>189.16</v>
      </c>
      <c r="J16" s="46">
        <v>166.68</v>
      </c>
      <c r="K16" s="73">
        <v>280.91000000000003</v>
      </c>
    </row>
    <row r="17" spans="1:11" x14ac:dyDescent="0.25">
      <c r="A17" s="51" t="s">
        <v>78</v>
      </c>
      <c r="B17" s="48" t="s">
        <v>79</v>
      </c>
      <c r="C17" s="47">
        <v>1</v>
      </c>
      <c r="D17" s="46">
        <v>19.95</v>
      </c>
      <c r="E17" s="46">
        <v>132.43</v>
      </c>
      <c r="F17" s="46">
        <v>144.80000000000001</v>
      </c>
      <c r="G17" s="46">
        <v>111.69</v>
      </c>
      <c r="H17" s="46">
        <v>98.45</v>
      </c>
      <c r="I17" s="46">
        <v>89.18</v>
      </c>
      <c r="J17" s="46">
        <v>78.58</v>
      </c>
      <c r="K17" s="73">
        <v>132.43</v>
      </c>
    </row>
    <row r="18" spans="1:11" x14ac:dyDescent="0.25">
      <c r="A18" s="180" t="s">
        <v>80</v>
      </c>
      <c r="B18" s="180"/>
      <c r="C18" s="180"/>
      <c r="D18" s="180"/>
      <c r="E18" s="180"/>
      <c r="F18" s="180"/>
      <c r="G18" s="180"/>
      <c r="H18" s="180"/>
      <c r="I18" s="180"/>
      <c r="J18" s="180"/>
      <c r="K18" s="40"/>
    </row>
    <row r="19" spans="1:11" x14ac:dyDescent="0.25">
      <c r="A19" s="181" t="s">
        <v>81</v>
      </c>
      <c r="B19" s="182"/>
      <c r="C19" s="182"/>
      <c r="D19" s="182"/>
      <c r="E19" s="182"/>
      <c r="F19" s="182"/>
      <c r="G19" s="182"/>
      <c r="H19" s="182"/>
      <c r="I19" s="182"/>
      <c r="J19" s="183"/>
      <c r="K19" s="40"/>
    </row>
    <row r="20" spans="1:11" x14ac:dyDescent="0.25">
      <c r="A20" s="51" t="s">
        <v>82</v>
      </c>
      <c r="B20" s="48" t="s">
        <v>83</v>
      </c>
      <c r="C20" s="47">
        <v>1</v>
      </c>
      <c r="D20" s="46">
        <v>92.8</v>
      </c>
      <c r="E20" s="46">
        <v>758.62</v>
      </c>
      <c r="F20" s="46">
        <v>829.46</v>
      </c>
      <c r="G20" s="46">
        <v>639.79999999999995</v>
      </c>
      <c r="H20" s="46">
        <v>563.95000000000005</v>
      </c>
      <c r="I20" s="46">
        <v>510.84</v>
      </c>
      <c r="J20" s="46">
        <v>450.15</v>
      </c>
      <c r="K20" s="73">
        <v>758.62</v>
      </c>
    </row>
    <row r="21" spans="1:11" x14ac:dyDescent="0.25">
      <c r="A21" s="51" t="s">
        <v>84</v>
      </c>
      <c r="B21" s="48" t="s">
        <v>85</v>
      </c>
      <c r="C21" s="47">
        <v>1</v>
      </c>
      <c r="D21" s="46">
        <v>110.75</v>
      </c>
      <c r="E21" s="46">
        <v>911.53</v>
      </c>
      <c r="F21" s="46">
        <v>1003.87</v>
      </c>
      <c r="G21" s="46">
        <v>775.99</v>
      </c>
      <c r="H21" s="46">
        <v>684.84</v>
      </c>
      <c r="I21" s="46">
        <v>621.03</v>
      </c>
      <c r="J21" s="46">
        <v>548.1</v>
      </c>
      <c r="K21" s="73">
        <v>911.53</v>
      </c>
    </row>
    <row r="22" spans="1:11" x14ac:dyDescent="0.25">
      <c r="A22" s="51" t="s">
        <v>86</v>
      </c>
      <c r="B22" s="48" t="s">
        <v>87</v>
      </c>
      <c r="C22" s="47">
        <v>1</v>
      </c>
      <c r="D22" s="46">
        <v>133.69999999999999</v>
      </c>
      <c r="E22" s="46">
        <v>1097.19</v>
      </c>
      <c r="F22" s="46">
        <v>1206.8699999999999</v>
      </c>
      <c r="G22" s="46">
        <v>932.57</v>
      </c>
      <c r="H22" s="46">
        <v>822.86</v>
      </c>
      <c r="I22" s="46">
        <v>746.05</v>
      </c>
      <c r="J22" s="46">
        <v>658.27</v>
      </c>
      <c r="K22" s="73">
        <v>1097.19</v>
      </c>
    </row>
    <row r="23" spans="1:11" ht="21.5" customHeight="1" x14ac:dyDescent="0.25">
      <c r="A23" s="188" t="s">
        <v>249</v>
      </c>
      <c r="B23" s="188"/>
      <c r="C23" s="188"/>
      <c r="D23" s="188"/>
      <c r="E23" s="188"/>
      <c r="F23" s="188"/>
      <c r="G23" s="188"/>
      <c r="H23" s="188"/>
      <c r="I23" s="188"/>
      <c r="J23" s="188"/>
      <c r="K23" s="43"/>
    </row>
    <row r="24" spans="1:11" x14ac:dyDescent="0.25">
      <c r="A24" s="62" t="s">
        <v>250</v>
      </c>
      <c r="B24" s="63" t="s">
        <v>251</v>
      </c>
      <c r="C24" s="64">
        <v>1</v>
      </c>
      <c r="D24" s="46">
        <v>92.8</v>
      </c>
      <c r="E24" s="75">
        <v>758.62</v>
      </c>
      <c r="F24" s="75">
        <v>829.46</v>
      </c>
      <c r="G24" s="75">
        <v>639.79999999999995</v>
      </c>
      <c r="H24" s="75">
        <v>563.95000000000005</v>
      </c>
      <c r="I24" s="75">
        <v>510.84</v>
      </c>
      <c r="J24" s="75">
        <v>450.15</v>
      </c>
      <c r="K24" s="66">
        <v>758.62</v>
      </c>
    </row>
    <row r="25" spans="1:11" x14ac:dyDescent="0.25">
      <c r="A25" s="51" t="s">
        <v>252</v>
      </c>
      <c r="B25" s="48" t="s">
        <v>253</v>
      </c>
      <c r="C25" s="47">
        <v>1</v>
      </c>
      <c r="D25" s="46">
        <v>92.8</v>
      </c>
      <c r="E25" s="75">
        <v>758.62</v>
      </c>
      <c r="F25" s="75">
        <v>829.46</v>
      </c>
      <c r="G25" s="75">
        <v>639.79999999999995</v>
      </c>
      <c r="H25" s="75">
        <v>563.95000000000005</v>
      </c>
      <c r="I25" s="75">
        <v>510.84</v>
      </c>
      <c r="J25" s="75">
        <v>450.15</v>
      </c>
      <c r="K25" s="66">
        <v>758.62</v>
      </c>
    </row>
    <row r="26" spans="1:11" x14ac:dyDescent="0.25">
      <c r="A26" s="51" t="s">
        <v>254</v>
      </c>
      <c r="B26" s="48" t="s">
        <v>255</v>
      </c>
      <c r="C26" s="47">
        <v>1</v>
      </c>
      <c r="D26" s="46">
        <v>92.8</v>
      </c>
      <c r="E26" s="75">
        <v>758.62</v>
      </c>
      <c r="F26" s="75">
        <v>829.46</v>
      </c>
      <c r="G26" s="75">
        <v>639.79999999999995</v>
      </c>
      <c r="H26" s="75">
        <v>563.95000000000005</v>
      </c>
      <c r="I26" s="75">
        <v>510.84</v>
      </c>
      <c r="J26" s="75">
        <v>450.15</v>
      </c>
      <c r="K26" s="66">
        <v>758.62</v>
      </c>
    </row>
    <row r="27" spans="1:11" ht="35.5" customHeight="1" x14ac:dyDescent="0.25">
      <c r="A27" s="188" t="s">
        <v>256</v>
      </c>
      <c r="B27" s="188"/>
      <c r="C27" s="188"/>
      <c r="D27" s="188"/>
      <c r="E27" s="188"/>
      <c r="F27" s="188"/>
      <c r="G27" s="188"/>
      <c r="H27" s="188"/>
      <c r="I27" s="188"/>
      <c r="J27" s="188"/>
      <c r="K27" s="43"/>
    </row>
    <row r="28" spans="1:11" x14ac:dyDescent="0.25">
      <c r="A28" s="51" t="s">
        <v>257</v>
      </c>
      <c r="B28" s="48" t="s">
        <v>251</v>
      </c>
      <c r="C28" s="47">
        <v>1</v>
      </c>
      <c r="D28" s="76">
        <v>110.75</v>
      </c>
      <c r="E28" s="75">
        <v>911.53</v>
      </c>
      <c r="F28" s="75">
        <v>1003.87</v>
      </c>
      <c r="G28" s="75">
        <v>775.99</v>
      </c>
      <c r="H28" s="75">
        <v>684.84</v>
      </c>
      <c r="I28" s="75">
        <v>621.03</v>
      </c>
      <c r="J28" s="76">
        <v>548.1</v>
      </c>
      <c r="K28" s="66">
        <v>911.53</v>
      </c>
    </row>
    <row r="29" spans="1:11" x14ac:dyDescent="0.25">
      <c r="A29" s="51" t="s">
        <v>258</v>
      </c>
      <c r="B29" s="48" t="s">
        <v>253</v>
      </c>
      <c r="C29" s="47">
        <v>1</v>
      </c>
      <c r="D29" s="76">
        <v>110.75</v>
      </c>
      <c r="E29" s="75">
        <v>911.53</v>
      </c>
      <c r="F29" s="75">
        <v>1003.87</v>
      </c>
      <c r="G29" s="75">
        <v>775.99</v>
      </c>
      <c r="H29" s="75">
        <v>684.84</v>
      </c>
      <c r="I29" s="75">
        <v>621.03</v>
      </c>
      <c r="J29" s="76">
        <v>548.1</v>
      </c>
      <c r="K29" s="66">
        <v>911.53</v>
      </c>
    </row>
    <row r="30" spans="1:11" x14ac:dyDescent="0.25">
      <c r="A30" s="51" t="s">
        <v>259</v>
      </c>
      <c r="B30" s="48" t="s">
        <v>255</v>
      </c>
      <c r="C30" s="47">
        <v>1</v>
      </c>
      <c r="D30" s="76">
        <v>110.75</v>
      </c>
      <c r="E30" s="75">
        <v>911.53</v>
      </c>
      <c r="F30" s="75">
        <v>1003.87</v>
      </c>
      <c r="G30" s="75">
        <v>775.99</v>
      </c>
      <c r="H30" s="75">
        <v>684.84</v>
      </c>
      <c r="I30" s="75">
        <v>621.03</v>
      </c>
      <c r="J30" s="76">
        <v>548.1</v>
      </c>
      <c r="K30" s="66">
        <v>911.53</v>
      </c>
    </row>
    <row r="31" spans="1:11" ht="33" customHeight="1" x14ac:dyDescent="0.25">
      <c r="A31" s="188" t="s">
        <v>260</v>
      </c>
      <c r="B31" s="188"/>
      <c r="C31" s="188"/>
      <c r="D31" s="188"/>
      <c r="E31" s="188"/>
      <c r="F31" s="188"/>
      <c r="G31" s="188"/>
      <c r="H31" s="188"/>
      <c r="I31" s="188"/>
      <c r="J31" s="188"/>
      <c r="K31" s="43"/>
    </row>
    <row r="32" spans="1:11" x14ac:dyDescent="0.25">
      <c r="A32" s="51" t="s">
        <v>261</v>
      </c>
      <c r="B32" s="48" t="s">
        <v>251</v>
      </c>
      <c r="C32" s="47">
        <v>1</v>
      </c>
      <c r="D32" s="76">
        <v>133.69999999999999</v>
      </c>
      <c r="E32" s="75">
        <v>1097.19</v>
      </c>
      <c r="F32" s="75">
        <v>1206.8699999999999</v>
      </c>
      <c r="G32" s="75">
        <v>932.57</v>
      </c>
      <c r="H32" s="75">
        <v>822.86</v>
      </c>
      <c r="I32" s="75">
        <v>746.05</v>
      </c>
      <c r="J32" s="75">
        <v>658.27</v>
      </c>
      <c r="K32" s="66">
        <v>1097.19</v>
      </c>
    </row>
    <row r="33" spans="1:17" x14ac:dyDescent="0.25">
      <c r="A33" s="51" t="s">
        <v>262</v>
      </c>
      <c r="B33" s="48" t="s">
        <v>253</v>
      </c>
      <c r="C33" s="47">
        <v>1</v>
      </c>
      <c r="D33" s="76">
        <v>133.69999999999999</v>
      </c>
      <c r="E33" s="75">
        <v>1097.19</v>
      </c>
      <c r="F33" s="75">
        <v>1206.8699999999999</v>
      </c>
      <c r="G33" s="75">
        <v>932.57</v>
      </c>
      <c r="H33" s="75">
        <v>822.86</v>
      </c>
      <c r="I33" s="75">
        <v>746.05</v>
      </c>
      <c r="J33" s="75">
        <v>658.27</v>
      </c>
      <c r="K33" s="66">
        <v>1097.19</v>
      </c>
    </row>
    <row r="34" spans="1:17" x14ac:dyDescent="0.25">
      <c r="A34" s="68" t="s">
        <v>263</v>
      </c>
      <c r="B34" s="69" t="s">
        <v>255</v>
      </c>
      <c r="C34" s="70">
        <v>1</v>
      </c>
      <c r="D34" s="76">
        <v>133.69999999999999</v>
      </c>
      <c r="E34" s="75">
        <v>1097.19</v>
      </c>
      <c r="F34" s="75">
        <v>1206.8699999999999</v>
      </c>
      <c r="G34" s="75">
        <v>932.57</v>
      </c>
      <c r="H34" s="75">
        <v>822.86</v>
      </c>
      <c r="I34" s="75">
        <v>746.05</v>
      </c>
      <c r="J34" s="75">
        <v>658.27</v>
      </c>
      <c r="K34" s="66">
        <v>1097.19</v>
      </c>
    </row>
    <row r="35" spans="1:17" ht="10.5" customHeight="1" x14ac:dyDescent="0.25">
      <c r="A35" s="180" t="s">
        <v>264</v>
      </c>
      <c r="B35" s="180"/>
      <c r="C35" s="180"/>
      <c r="D35" s="180"/>
      <c r="E35" s="180"/>
      <c r="F35" s="180"/>
      <c r="G35" s="180"/>
      <c r="H35" s="180"/>
      <c r="I35" s="180"/>
      <c r="J35" s="180"/>
      <c r="K35" s="43"/>
    </row>
    <row r="36" spans="1:17" ht="52.5" x14ac:dyDescent="0.25">
      <c r="A36" s="74" t="s">
        <v>265</v>
      </c>
      <c r="B36" s="48" t="s">
        <v>266</v>
      </c>
      <c r="C36" s="47">
        <v>1</v>
      </c>
      <c r="D36" s="76">
        <v>47.9</v>
      </c>
      <c r="E36" s="75">
        <v>394.33</v>
      </c>
      <c r="F36" s="75">
        <v>431.15</v>
      </c>
      <c r="G36" s="75">
        <v>332.57</v>
      </c>
      <c r="H36" s="75">
        <v>293.13</v>
      </c>
      <c r="I36" s="75">
        <v>265.52999999999997</v>
      </c>
      <c r="J36" s="75">
        <v>233.98</v>
      </c>
      <c r="K36" s="66">
        <v>394.33</v>
      </c>
    </row>
    <row r="37" spans="1:17" ht="52.5" x14ac:dyDescent="0.25">
      <c r="A37" s="74" t="s">
        <v>267</v>
      </c>
      <c r="B37" s="48" t="s">
        <v>268</v>
      </c>
      <c r="C37" s="47">
        <v>1</v>
      </c>
      <c r="D37" s="76">
        <v>47.9</v>
      </c>
      <c r="E37" s="75">
        <v>394.33</v>
      </c>
      <c r="F37" s="75">
        <v>431.15</v>
      </c>
      <c r="G37" s="75">
        <v>332.57</v>
      </c>
      <c r="H37" s="75">
        <v>293.13</v>
      </c>
      <c r="I37" s="75">
        <v>265.52999999999997</v>
      </c>
      <c r="J37" s="75">
        <v>233.98</v>
      </c>
      <c r="K37" s="66">
        <v>394.33</v>
      </c>
    </row>
    <row r="38" spans="1:17" ht="63" x14ac:dyDescent="0.25">
      <c r="A38" s="74" t="s">
        <v>269</v>
      </c>
      <c r="B38" s="48" t="s">
        <v>270</v>
      </c>
      <c r="C38" s="47">
        <v>1</v>
      </c>
      <c r="D38" s="76">
        <v>70.75</v>
      </c>
      <c r="E38" s="75">
        <v>539.34</v>
      </c>
      <c r="F38" s="75">
        <v>589.71</v>
      </c>
      <c r="G38" s="75">
        <v>454.87</v>
      </c>
      <c r="H38" s="75">
        <v>400.94</v>
      </c>
      <c r="I38" s="75">
        <v>363.19</v>
      </c>
      <c r="J38" s="75">
        <v>320.04000000000002</v>
      </c>
      <c r="K38" s="66">
        <v>539.34</v>
      </c>
    </row>
    <row r="39" spans="1:17" ht="63" x14ac:dyDescent="0.25">
      <c r="A39" s="74" t="s">
        <v>271</v>
      </c>
      <c r="B39" s="48" t="s">
        <v>272</v>
      </c>
      <c r="C39" s="47">
        <v>1</v>
      </c>
      <c r="D39" s="76">
        <v>87.45</v>
      </c>
      <c r="E39" s="75">
        <v>675.34</v>
      </c>
      <c r="F39" s="75">
        <v>738.4</v>
      </c>
      <c r="G39" s="75">
        <v>569.55999999999995</v>
      </c>
      <c r="H39" s="75">
        <v>502.03</v>
      </c>
      <c r="I39" s="75">
        <v>454.76</v>
      </c>
      <c r="J39" s="75">
        <v>400.73</v>
      </c>
      <c r="K39" s="66">
        <v>675.34</v>
      </c>
    </row>
    <row r="40" spans="1:17" ht="65" customHeight="1" x14ac:dyDescent="0.25">
      <c r="A40" s="74" t="s">
        <v>273</v>
      </c>
      <c r="B40" s="48" t="s">
        <v>274</v>
      </c>
      <c r="C40" s="47">
        <v>1</v>
      </c>
      <c r="D40" s="76">
        <v>83.05</v>
      </c>
      <c r="E40" s="76">
        <v>634.53</v>
      </c>
      <c r="F40" s="76">
        <v>699.76</v>
      </c>
      <c r="G40" s="76">
        <v>541.13</v>
      </c>
      <c r="H40" s="76">
        <v>477.67</v>
      </c>
      <c r="I40" s="76">
        <v>433.26</v>
      </c>
      <c r="J40" s="76">
        <v>382.49</v>
      </c>
      <c r="K40" s="73">
        <v>634.53</v>
      </c>
    </row>
    <row r="41" spans="1:17" ht="73.5" x14ac:dyDescent="0.25">
      <c r="A41" s="74" t="s">
        <v>275</v>
      </c>
      <c r="B41" s="48" t="s">
        <v>276</v>
      </c>
      <c r="C41" s="47">
        <v>1</v>
      </c>
      <c r="D41" s="76">
        <v>101.85</v>
      </c>
      <c r="E41" s="76">
        <v>792.55</v>
      </c>
      <c r="F41" s="76">
        <v>866.54</v>
      </c>
      <c r="G41" s="76">
        <v>668.4</v>
      </c>
      <c r="H41" s="76">
        <v>589.15</v>
      </c>
      <c r="I41" s="76">
        <v>533.66999999999996</v>
      </c>
      <c r="J41" s="76">
        <v>470.26</v>
      </c>
      <c r="K41" s="73">
        <v>792.55</v>
      </c>
    </row>
    <row r="42" spans="1:17" ht="10.5" customHeight="1" x14ac:dyDescent="0.25">
      <c r="A42" s="175" t="s">
        <v>88</v>
      </c>
      <c r="B42" s="176"/>
      <c r="C42" s="176"/>
      <c r="D42" s="176"/>
      <c r="E42" s="176"/>
      <c r="F42" s="176"/>
      <c r="G42" s="176"/>
      <c r="H42" s="176"/>
      <c r="I42" s="176"/>
      <c r="J42" s="177"/>
      <c r="K42" s="40"/>
    </row>
    <row r="43" spans="1:17" ht="10.5" customHeight="1" x14ac:dyDescent="0.25">
      <c r="A43" s="181" t="s">
        <v>89</v>
      </c>
      <c r="B43" s="182"/>
      <c r="C43" s="182"/>
      <c r="D43" s="182"/>
      <c r="E43" s="182"/>
      <c r="F43" s="182"/>
      <c r="G43" s="182"/>
      <c r="H43" s="182"/>
      <c r="I43" s="182"/>
      <c r="J43" s="183"/>
      <c r="K43" s="40"/>
    </row>
    <row r="44" spans="1:17" x14ac:dyDescent="0.25">
      <c r="A44" s="51" t="s">
        <v>90</v>
      </c>
      <c r="B44" s="48" t="s">
        <v>91</v>
      </c>
      <c r="C44" s="47">
        <v>1</v>
      </c>
      <c r="D44" s="46">
        <v>61.85</v>
      </c>
      <c r="E44" s="46">
        <v>508.94</v>
      </c>
      <c r="F44" s="46">
        <v>563.69000000000005</v>
      </c>
      <c r="G44" s="46">
        <v>436.45</v>
      </c>
      <c r="H44" s="46">
        <v>385.56</v>
      </c>
      <c r="I44" s="46">
        <v>349.94</v>
      </c>
      <c r="J44" s="46">
        <v>309.22000000000003</v>
      </c>
      <c r="K44" s="73">
        <v>508.94</v>
      </c>
      <c r="Q44" s="61"/>
    </row>
    <row r="45" spans="1:17" x14ac:dyDescent="0.25">
      <c r="A45" s="51" t="s">
        <v>92</v>
      </c>
      <c r="B45" s="48" t="s">
        <v>93</v>
      </c>
      <c r="C45" s="47">
        <v>1</v>
      </c>
      <c r="D45" s="46">
        <v>61.85</v>
      </c>
      <c r="E45" s="46">
        <v>508.94</v>
      </c>
      <c r="F45" s="46">
        <v>563.69000000000005</v>
      </c>
      <c r="G45" s="46">
        <v>436.45</v>
      </c>
      <c r="H45" s="46">
        <v>385.56</v>
      </c>
      <c r="I45" s="46">
        <v>349.94</v>
      </c>
      <c r="J45" s="46">
        <v>309.22000000000003</v>
      </c>
      <c r="K45" s="73">
        <v>508.94</v>
      </c>
    </row>
    <row r="46" spans="1:17" x14ac:dyDescent="0.25">
      <c r="A46" s="51" t="s">
        <v>94</v>
      </c>
      <c r="B46" s="48" t="s">
        <v>95</v>
      </c>
      <c r="C46" s="47">
        <v>1</v>
      </c>
      <c r="D46" s="46">
        <v>61.85</v>
      </c>
      <c r="E46" s="46">
        <v>508.94</v>
      </c>
      <c r="F46" s="46">
        <v>563.69000000000005</v>
      </c>
      <c r="G46" s="46">
        <v>436.45</v>
      </c>
      <c r="H46" s="46">
        <v>385.56</v>
      </c>
      <c r="I46" s="46">
        <v>349.94</v>
      </c>
      <c r="J46" s="46">
        <v>309.22000000000003</v>
      </c>
      <c r="K46" s="73">
        <v>508.94</v>
      </c>
    </row>
    <row r="47" spans="1:17" x14ac:dyDescent="0.25">
      <c r="A47" s="51" t="s">
        <v>96</v>
      </c>
      <c r="B47" s="48" t="s">
        <v>97</v>
      </c>
      <c r="C47" s="47">
        <v>1</v>
      </c>
      <c r="D47" s="46">
        <v>61.85</v>
      </c>
      <c r="E47" s="46">
        <v>508.94</v>
      </c>
      <c r="F47" s="46">
        <v>563.69000000000005</v>
      </c>
      <c r="G47" s="46">
        <v>436.45</v>
      </c>
      <c r="H47" s="46">
        <v>385.56</v>
      </c>
      <c r="I47" s="46">
        <v>349.94</v>
      </c>
      <c r="J47" s="46">
        <v>309.22000000000003</v>
      </c>
      <c r="K47" s="73">
        <v>508.94</v>
      </c>
    </row>
    <row r="48" spans="1:17" x14ac:dyDescent="0.25">
      <c r="A48" s="51" t="s">
        <v>98</v>
      </c>
      <c r="B48" s="48" t="s">
        <v>99</v>
      </c>
      <c r="C48" s="47">
        <v>1</v>
      </c>
      <c r="D48" s="46">
        <v>61.85</v>
      </c>
      <c r="E48" s="46">
        <v>508.94</v>
      </c>
      <c r="F48" s="46">
        <v>563.69000000000005</v>
      </c>
      <c r="G48" s="46">
        <v>436.45</v>
      </c>
      <c r="H48" s="46">
        <v>385.56</v>
      </c>
      <c r="I48" s="46">
        <v>349.94</v>
      </c>
      <c r="J48" s="46">
        <v>309.22000000000003</v>
      </c>
      <c r="K48" s="73">
        <v>508.94</v>
      </c>
    </row>
    <row r="49" spans="1:17" x14ac:dyDescent="0.25">
      <c r="A49" s="51" t="s">
        <v>100</v>
      </c>
      <c r="B49" s="48" t="s">
        <v>101</v>
      </c>
      <c r="C49" s="47">
        <v>1</v>
      </c>
      <c r="D49" s="46">
        <v>61.85</v>
      </c>
      <c r="E49" s="46">
        <v>508.94</v>
      </c>
      <c r="F49" s="46">
        <v>563.69000000000005</v>
      </c>
      <c r="G49" s="46">
        <v>436.45</v>
      </c>
      <c r="H49" s="46">
        <v>385.56</v>
      </c>
      <c r="I49" s="46">
        <v>349.94</v>
      </c>
      <c r="J49" s="46">
        <v>309.22000000000003</v>
      </c>
      <c r="K49" s="73">
        <v>508.94</v>
      </c>
    </row>
    <row r="50" spans="1:17" ht="10.5" customHeight="1" x14ac:dyDescent="0.25">
      <c r="A50" s="181" t="s">
        <v>102</v>
      </c>
      <c r="B50" s="182"/>
      <c r="C50" s="182"/>
      <c r="D50" s="182"/>
      <c r="E50" s="182"/>
      <c r="F50" s="182"/>
      <c r="G50" s="182"/>
      <c r="H50" s="182"/>
      <c r="I50" s="182"/>
      <c r="J50" s="183"/>
      <c r="K50" s="40"/>
    </row>
    <row r="51" spans="1:17" x14ac:dyDescent="0.25">
      <c r="A51" s="51" t="s">
        <v>103</v>
      </c>
      <c r="B51" s="48" t="s">
        <v>91</v>
      </c>
      <c r="C51" s="47">
        <v>1</v>
      </c>
      <c r="D51" s="46">
        <v>76.849999999999994</v>
      </c>
      <c r="E51" s="46">
        <v>627.74</v>
      </c>
      <c r="F51" s="46">
        <v>693.58</v>
      </c>
      <c r="G51" s="46">
        <v>536.64</v>
      </c>
      <c r="H51" s="46">
        <v>473.87</v>
      </c>
      <c r="I51" s="46">
        <v>429.93</v>
      </c>
      <c r="J51" s="46">
        <v>379.71</v>
      </c>
      <c r="K51" s="73">
        <v>627.74</v>
      </c>
    </row>
    <row r="52" spans="1:17" x14ac:dyDescent="0.25">
      <c r="A52" s="51" t="s">
        <v>104</v>
      </c>
      <c r="B52" s="48" t="s">
        <v>93</v>
      </c>
      <c r="C52" s="47">
        <v>1</v>
      </c>
      <c r="D52" s="46">
        <v>76.849999999999994</v>
      </c>
      <c r="E52" s="46">
        <v>627.74</v>
      </c>
      <c r="F52" s="46">
        <v>693.58</v>
      </c>
      <c r="G52" s="46">
        <v>536.64</v>
      </c>
      <c r="H52" s="46">
        <v>473.87</v>
      </c>
      <c r="I52" s="46">
        <v>429.93</v>
      </c>
      <c r="J52" s="46">
        <v>379.71</v>
      </c>
      <c r="K52" s="73">
        <v>627.74</v>
      </c>
      <c r="Q52" s="61"/>
    </row>
    <row r="53" spans="1:17" x14ac:dyDescent="0.25">
      <c r="A53" s="51" t="s">
        <v>105</v>
      </c>
      <c r="B53" s="48" t="s">
        <v>95</v>
      </c>
      <c r="C53" s="47">
        <v>1</v>
      </c>
      <c r="D53" s="46">
        <v>76.849999999999994</v>
      </c>
      <c r="E53" s="46">
        <v>627.74</v>
      </c>
      <c r="F53" s="46">
        <v>693.58</v>
      </c>
      <c r="G53" s="46">
        <v>536.64</v>
      </c>
      <c r="H53" s="46">
        <v>473.87</v>
      </c>
      <c r="I53" s="46">
        <v>429.93</v>
      </c>
      <c r="J53" s="46">
        <v>379.71</v>
      </c>
      <c r="K53" s="73">
        <v>627.74</v>
      </c>
    </row>
    <row r="54" spans="1:17" x14ac:dyDescent="0.25">
      <c r="A54" s="51" t="s">
        <v>106</v>
      </c>
      <c r="B54" s="48" t="s">
        <v>97</v>
      </c>
      <c r="C54" s="47">
        <v>1</v>
      </c>
      <c r="D54" s="46">
        <v>76.849999999999994</v>
      </c>
      <c r="E54" s="46">
        <v>627.74</v>
      </c>
      <c r="F54" s="46">
        <v>693.58</v>
      </c>
      <c r="G54" s="46">
        <v>536.64</v>
      </c>
      <c r="H54" s="46">
        <v>473.87</v>
      </c>
      <c r="I54" s="46">
        <v>429.93</v>
      </c>
      <c r="J54" s="46">
        <v>379.71</v>
      </c>
      <c r="K54" s="73">
        <v>627.74</v>
      </c>
    </row>
    <row r="55" spans="1:17" x14ac:dyDescent="0.25">
      <c r="A55" s="51" t="s">
        <v>107</v>
      </c>
      <c r="B55" s="48" t="s">
        <v>99</v>
      </c>
      <c r="C55" s="47">
        <v>1</v>
      </c>
      <c r="D55" s="46">
        <v>76.849999999999994</v>
      </c>
      <c r="E55" s="46">
        <v>627.74</v>
      </c>
      <c r="F55" s="46">
        <v>693.58</v>
      </c>
      <c r="G55" s="46">
        <v>536.64</v>
      </c>
      <c r="H55" s="46">
        <v>473.87</v>
      </c>
      <c r="I55" s="46">
        <v>429.93</v>
      </c>
      <c r="J55" s="46">
        <v>379.71</v>
      </c>
      <c r="K55" s="73">
        <v>627.74</v>
      </c>
    </row>
    <row r="56" spans="1:17" x14ac:dyDescent="0.25">
      <c r="A56" s="51" t="s">
        <v>108</v>
      </c>
      <c r="B56" s="48" t="s">
        <v>101</v>
      </c>
      <c r="C56" s="47">
        <v>1</v>
      </c>
      <c r="D56" s="46">
        <v>76.849999999999994</v>
      </c>
      <c r="E56" s="46">
        <v>627.74</v>
      </c>
      <c r="F56" s="46">
        <v>693.58</v>
      </c>
      <c r="G56" s="46">
        <v>536.64</v>
      </c>
      <c r="H56" s="46">
        <v>473.87</v>
      </c>
      <c r="I56" s="46">
        <v>429.93</v>
      </c>
      <c r="J56" s="46">
        <v>379.71</v>
      </c>
      <c r="K56" s="73">
        <v>627.74</v>
      </c>
    </row>
    <row r="57" spans="1:17" ht="10.5" customHeight="1" x14ac:dyDescent="0.25">
      <c r="A57" s="181" t="s">
        <v>109</v>
      </c>
      <c r="B57" s="182"/>
      <c r="C57" s="182"/>
      <c r="D57" s="182"/>
      <c r="E57" s="182"/>
      <c r="F57" s="182"/>
      <c r="G57" s="182"/>
      <c r="H57" s="182"/>
      <c r="I57" s="182"/>
      <c r="J57" s="183"/>
      <c r="K57" s="40"/>
    </row>
    <row r="58" spans="1:17" x14ac:dyDescent="0.25">
      <c r="A58" s="51" t="s">
        <v>110</v>
      </c>
      <c r="B58" s="48" t="s">
        <v>91</v>
      </c>
      <c r="C58" s="47">
        <v>1</v>
      </c>
      <c r="D58" s="46">
        <v>76.849999999999994</v>
      </c>
      <c r="E58" s="46">
        <v>627.74</v>
      </c>
      <c r="F58" s="46">
        <v>693.58</v>
      </c>
      <c r="G58" s="46">
        <v>536.64</v>
      </c>
      <c r="H58" s="46">
        <v>473.87</v>
      </c>
      <c r="I58" s="46">
        <v>429.93</v>
      </c>
      <c r="J58" s="46">
        <v>379.71</v>
      </c>
      <c r="K58" s="73">
        <v>627.74</v>
      </c>
    </row>
    <row r="59" spans="1:17" x14ac:dyDescent="0.25">
      <c r="A59" s="51" t="s">
        <v>111</v>
      </c>
      <c r="B59" s="48" t="s">
        <v>93</v>
      </c>
      <c r="C59" s="47">
        <v>1</v>
      </c>
      <c r="D59" s="46">
        <v>76.849999999999994</v>
      </c>
      <c r="E59" s="46">
        <v>627.74</v>
      </c>
      <c r="F59" s="46">
        <v>693.58</v>
      </c>
      <c r="G59" s="46">
        <v>536.64</v>
      </c>
      <c r="H59" s="46">
        <v>473.87</v>
      </c>
      <c r="I59" s="46">
        <v>429.93</v>
      </c>
      <c r="J59" s="46">
        <v>379.71</v>
      </c>
      <c r="K59" s="73">
        <v>627.74</v>
      </c>
    </row>
    <row r="60" spans="1:17" x14ac:dyDescent="0.25">
      <c r="A60" s="51" t="s">
        <v>112</v>
      </c>
      <c r="B60" s="48" t="s">
        <v>95</v>
      </c>
      <c r="C60" s="47">
        <v>1</v>
      </c>
      <c r="D60" s="46">
        <v>76.849999999999994</v>
      </c>
      <c r="E60" s="46">
        <v>627.74</v>
      </c>
      <c r="F60" s="46">
        <v>693.58</v>
      </c>
      <c r="G60" s="46">
        <v>536.64</v>
      </c>
      <c r="H60" s="46">
        <v>473.87</v>
      </c>
      <c r="I60" s="46">
        <v>429.93</v>
      </c>
      <c r="J60" s="46">
        <v>379.71</v>
      </c>
      <c r="K60" s="73">
        <v>627.74</v>
      </c>
    </row>
    <row r="61" spans="1:17" x14ac:dyDescent="0.25">
      <c r="A61" s="51" t="s">
        <v>113</v>
      </c>
      <c r="B61" s="48" t="s">
        <v>97</v>
      </c>
      <c r="C61" s="47">
        <v>1</v>
      </c>
      <c r="D61" s="46">
        <v>76.849999999999994</v>
      </c>
      <c r="E61" s="46">
        <v>627.74</v>
      </c>
      <c r="F61" s="46">
        <v>693.58</v>
      </c>
      <c r="G61" s="46">
        <v>536.64</v>
      </c>
      <c r="H61" s="46">
        <v>473.87</v>
      </c>
      <c r="I61" s="46">
        <v>429.93</v>
      </c>
      <c r="J61" s="46">
        <v>379.71</v>
      </c>
      <c r="K61" s="73">
        <v>627.74</v>
      </c>
    </row>
    <row r="62" spans="1:17" x14ac:dyDescent="0.25">
      <c r="A62" s="51" t="s">
        <v>114</v>
      </c>
      <c r="B62" s="48" t="s">
        <v>99</v>
      </c>
      <c r="C62" s="47">
        <v>1</v>
      </c>
      <c r="D62" s="46">
        <v>76.849999999999994</v>
      </c>
      <c r="E62" s="46">
        <v>627.74</v>
      </c>
      <c r="F62" s="46">
        <v>693.58</v>
      </c>
      <c r="G62" s="46">
        <v>536.64</v>
      </c>
      <c r="H62" s="46">
        <v>473.87</v>
      </c>
      <c r="I62" s="46">
        <v>429.93</v>
      </c>
      <c r="J62" s="46">
        <v>379.71</v>
      </c>
      <c r="K62" s="73">
        <v>627.74</v>
      </c>
    </row>
    <row r="63" spans="1:17" x14ac:dyDescent="0.25">
      <c r="A63" s="51" t="s">
        <v>115</v>
      </c>
      <c r="B63" s="48" t="s">
        <v>101</v>
      </c>
      <c r="C63" s="47">
        <v>1</v>
      </c>
      <c r="D63" s="46">
        <v>76.849999999999994</v>
      </c>
      <c r="E63" s="46">
        <v>627.74</v>
      </c>
      <c r="F63" s="46">
        <v>693.58</v>
      </c>
      <c r="G63" s="46">
        <v>536.64</v>
      </c>
      <c r="H63" s="46">
        <v>473.87</v>
      </c>
      <c r="I63" s="46">
        <v>429.93</v>
      </c>
      <c r="J63" s="46">
        <v>379.71</v>
      </c>
      <c r="K63" s="73">
        <v>627.74</v>
      </c>
    </row>
    <row r="64" spans="1:17" ht="10.5" customHeight="1" x14ac:dyDescent="0.25">
      <c r="A64" s="175" t="s">
        <v>116</v>
      </c>
      <c r="B64" s="176"/>
      <c r="C64" s="176"/>
      <c r="D64" s="176"/>
      <c r="E64" s="176"/>
      <c r="F64" s="176"/>
      <c r="G64" s="176"/>
      <c r="H64" s="176"/>
      <c r="I64" s="176"/>
      <c r="J64" s="177"/>
      <c r="K64" s="40"/>
    </row>
    <row r="65" spans="1:11" x14ac:dyDescent="0.25">
      <c r="A65" s="51" t="s">
        <v>117</v>
      </c>
      <c r="B65" s="48" t="s">
        <v>118</v>
      </c>
      <c r="C65" s="47">
        <v>1</v>
      </c>
      <c r="D65" s="46">
        <v>32.950000000000003</v>
      </c>
      <c r="E65" s="46">
        <v>248.73</v>
      </c>
      <c r="F65" s="46">
        <v>271.95</v>
      </c>
      <c r="G65" s="46">
        <v>209.77</v>
      </c>
      <c r="H65" s="46">
        <v>184.89</v>
      </c>
      <c r="I65" s="46">
        <v>167.48</v>
      </c>
      <c r="J65" s="46">
        <v>147.58000000000001</v>
      </c>
      <c r="K65" s="73">
        <v>248.73</v>
      </c>
    </row>
    <row r="66" spans="1:11" x14ac:dyDescent="0.25">
      <c r="A66" s="51" t="s">
        <v>119</v>
      </c>
      <c r="B66" s="48" t="s">
        <v>120</v>
      </c>
      <c r="C66" s="47">
        <v>1</v>
      </c>
      <c r="D66" s="46">
        <v>14.75</v>
      </c>
      <c r="E66" s="46">
        <v>119.26</v>
      </c>
      <c r="F66" s="46">
        <v>130.4</v>
      </c>
      <c r="G66" s="46">
        <v>100.58</v>
      </c>
      <c r="H66" s="46">
        <v>88.66</v>
      </c>
      <c r="I66" s="46">
        <v>80.31</v>
      </c>
      <c r="J66" s="46">
        <v>70.77</v>
      </c>
      <c r="K66" s="73">
        <v>119.26</v>
      </c>
    </row>
    <row r="67" spans="1:11" x14ac:dyDescent="0.25">
      <c r="A67" s="51" t="s">
        <v>121</v>
      </c>
      <c r="B67" s="48" t="s">
        <v>122</v>
      </c>
      <c r="C67" s="47">
        <v>1</v>
      </c>
      <c r="D67" s="46">
        <v>24.9</v>
      </c>
      <c r="E67" s="46">
        <v>181.81</v>
      </c>
      <c r="F67" s="46">
        <v>212.64</v>
      </c>
      <c r="G67" s="46">
        <v>167.19</v>
      </c>
      <c r="H67" s="46">
        <v>149.01</v>
      </c>
      <c r="I67" s="46">
        <v>136.28</v>
      </c>
      <c r="J67" s="46">
        <v>121.73</v>
      </c>
      <c r="K67" s="73">
        <v>181.81</v>
      </c>
    </row>
    <row r="68" spans="1:11" x14ac:dyDescent="0.25">
      <c r="A68" s="51" t="s">
        <v>123</v>
      </c>
      <c r="B68" s="48" t="s">
        <v>124</v>
      </c>
      <c r="C68" s="47">
        <v>1</v>
      </c>
      <c r="D68" s="46">
        <v>28</v>
      </c>
      <c r="E68" s="46">
        <v>223.13</v>
      </c>
      <c r="F68" s="46">
        <v>243.97</v>
      </c>
      <c r="G68" s="46">
        <v>188.19</v>
      </c>
      <c r="H68" s="46">
        <v>165.87</v>
      </c>
      <c r="I68" s="46">
        <v>150.26</v>
      </c>
      <c r="J68" s="46">
        <v>132.4</v>
      </c>
      <c r="K68" s="73">
        <v>223.13</v>
      </c>
    </row>
    <row r="69" spans="1:11" x14ac:dyDescent="0.25">
      <c r="A69" s="51" t="s">
        <v>125</v>
      </c>
      <c r="B69" s="48" t="s">
        <v>126</v>
      </c>
      <c r="C69" s="47">
        <v>1</v>
      </c>
      <c r="D69" s="46">
        <v>68.45</v>
      </c>
      <c r="E69" s="46">
        <v>544.91999999999996</v>
      </c>
      <c r="F69" s="46">
        <v>640.95000000000005</v>
      </c>
      <c r="G69" s="46">
        <v>504.72</v>
      </c>
      <c r="H69" s="46">
        <v>450.23</v>
      </c>
      <c r="I69" s="46">
        <v>412.08</v>
      </c>
      <c r="J69" s="46">
        <v>368.49</v>
      </c>
      <c r="K69" s="73">
        <v>544.91999999999996</v>
      </c>
    </row>
    <row r="70" spans="1:11" ht="10.5" customHeight="1" x14ac:dyDescent="0.25">
      <c r="A70" s="175" t="s">
        <v>127</v>
      </c>
      <c r="B70" s="176"/>
      <c r="C70" s="176"/>
      <c r="D70" s="176"/>
      <c r="E70" s="176"/>
      <c r="F70" s="176"/>
      <c r="G70" s="176"/>
      <c r="H70" s="176"/>
      <c r="I70" s="176"/>
      <c r="J70" s="177"/>
      <c r="K70" s="40"/>
    </row>
    <row r="71" spans="1:11" x14ac:dyDescent="0.25">
      <c r="A71" s="51" t="s">
        <v>128</v>
      </c>
      <c r="B71" s="48" t="s">
        <v>129</v>
      </c>
      <c r="C71" s="47">
        <v>1</v>
      </c>
      <c r="D71" s="46">
        <v>24.95</v>
      </c>
      <c r="E71" s="46">
        <v>208.67</v>
      </c>
      <c r="F71" s="46">
        <v>228.15</v>
      </c>
      <c r="G71" s="46">
        <v>175.98</v>
      </c>
      <c r="H71" s="46">
        <v>155.12</v>
      </c>
      <c r="I71" s="46">
        <v>140.51</v>
      </c>
      <c r="J71" s="46">
        <v>123.81</v>
      </c>
      <c r="K71" s="73">
        <v>208.67</v>
      </c>
    </row>
    <row r="72" spans="1:11" x14ac:dyDescent="0.25">
      <c r="A72" s="51" t="s">
        <v>130</v>
      </c>
      <c r="B72" s="48" t="s">
        <v>131</v>
      </c>
      <c r="C72" s="47">
        <v>1</v>
      </c>
      <c r="D72" s="46">
        <v>24.95</v>
      </c>
      <c r="E72" s="46">
        <v>208.67</v>
      </c>
      <c r="F72" s="46">
        <v>228.15</v>
      </c>
      <c r="G72" s="46">
        <v>175.98</v>
      </c>
      <c r="H72" s="46">
        <v>155.12</v>
      </c>
      <c r="I72" s="46">
        <v>140.51</v>
      </c>
      <c r="J72" s="46">
        <v>123.81</v>
      </c>
      <c r="K72" s="73">
        <v>208.67</v>
      </c>
    </row>
    <row r="73" spans="1:11" x14ac:dyDescent="0.25">
      <c r="A73" s="51" t="s">
        <v>132</v>
      </c>
      <c r="B73" s="48" t="s">
        <v>133</v>
      </c>
      <c r="C73" s="47">
        <v>1</v>
      </c>
      <c r="D73" s="46">
        <v>24.95</v>
      </c>
      <c r="E73" s="46">
        <v>208.67</v>
      </c>
      <c r="F73" s="46">
        <v>228.15</v>
      </c>
      <c r="G73" s="46">
        <v>175.98</v>
      </c>
      <c r="H73" s="46">
        <v>155.12</v>
      </c>
      <c r="I73" s="46">
        <v>140.51</v>
      </c>
      <c r="J73" s="46">
        <v>123.81</v>
      </c>
      <c r="K73" s="73">
        <v>208.67</v>
      </c>
    </row>
    <row r="74" spans="1:11" x14ac:dyDescent="0.25">
      <c r="A74" s="51" t="s">
        <v>134</v>
      </c>
      <c r="B74" s="48" t="s">
        <v>135</v>
      </c>
      <c r="C74" s="47">
        <v>1</v>
      </c>
      <c r="D74" s="46">
        <v>22.95</v>
      </c>
      <c r="E74" s="46">
        <v>185.66</v>
      </c>
      <c r="F74" s="46">
        <v>203</v>
      </c>
      <c r="G74" s="46">
        <v>156.58000000000001</v>
      </c>
      <c r="H74" s="46">
        <v>138.02000000000001</v>
      </c>
      <c r="I74" s="46">
        <v>125.02</v>
      </c>
      <c r="J74" s="46">
        <v>110.17</v>
      </c>
      <c r="K74" s="73">
        <v>185.66</v>
      </c>
    </row>
    <row r="75" spans="1:11" x14ac:dyDescent="0.25">
      <c r="A75" s="51" t="s">
        <v>244</v>
      </c>
      <c r="B75" s="48" t="s">
        <v>243</v>
      </c>
      <c r="C75" s="47">
        <v>1</v>
      </c>
      <c r="D75" s="46">
        <v>22.95</v>
      </c>
      <c r="E75" s="46">
        <v>185.66</v>
      </c>
      <c r="F75" s="46">
        <v>203</v>
      </c>
      <c r="G75" s="46">
        <v>156.58000000000001</v>
      </c>
      <c r="H75" s="46">
        <v>138.02000000000001</v>
      </c>
      <c r="I75" s="46">
        <v>125.02</v>
      </c>
      <c r="J75" s="46">
        <v>110.17</v>
      </c>
      <c r="K75" s="73">
        <v>185.66</v>
      </c>
    </row>
    <row r="76" spans="1:11" ht="10.5" customHeight="1" x14ac:dyDescent="0.25">
      <c r="A76" s="175" t="s">
        <v>136</v>
      </c>
      <c r="B76" s="176"/>
      <c r="C76" s="176"/>
      <c r="D76" s="176"/>
      <c r="E76" s="176"/>
      <c r="F76" s="176"/>
      <c r="G76" s="176"/>
      <c r="H76" s="176"/>
      <c r="I76" s="176"/>
      <c r="J76" s="177"/>
      <c r="K76" s="40"/>
    </row>
    <row r="77" spans="1:11" x14ac:dyDescent="0.25">
      <c r="A77" s="51" t="s">
        <v>137</v>
      </c>
      <c r="B77" s="48" t="s">
        <v>138</v>
      </c>
      <c r="C77" s="47">
        <v>1</v>
      </c>
      <c r="D77" s="46">
        <v>12.95</v>
      </c>
      <c r="E77" s="46">
        <v>98.4</v>
      </c>
      <c r="F77" s="46">
        <v>107.59</v>
      </c>
      <c r="G77" s="46">
        <v>82.99</v>
      </c>
      <c r="H77" s="46">
        <v>73.150000000000006</v>
      </c>
      <c r="I77" s="46">
        <v>66.260000000000005</v>
      </c>
      <c r="J77" s="46">
        <v>58.39</v>
      </c>
      <c r="K77" s="73">
        <v>98.4</v>
      </c>
    </row>
    <row r="78" spans="1:11" x14ac:dyDescent="0.25">
      <c r="A78" s="51" t="s">
        <v>139</v>
      </c>
      <c r="B78" s="48" t="s">
        <v>140</v>
      </c>
      <c r="C78" s="47">
        <v>1</v>
      </c>
      <c r="D78" s="46">
        <v>25.75</v>
      </c>
      <c r="E78" s="46">
        <v>191.33</v>
      </c>
      <c r="F78" s="46">
        <v>209.19</v>
      </c>
      <c r="G78" s="46">
        <v>161.36000000000001</v>
      </c>
      <c r="H78" s="46">
        <v>142.22</v>
      </c>
      <c r="I78" s="46">
        <v>128.83000000000001</v>
      </c>
      <c r="J78" s="46">
        <v>113.52</v>
      </c>
      <c r="K78" s="73">
        <v>191.33</v>
      </c>
    </row>
    <row r="79" spans="1:11" x14ac:dyDescent="0.25">
      <c r="A79" s="51" t="s">
        <v>141</v>
      </c>
      <c r="B79" s="48" t="s">
        <v>142</v>
      </c>
      <c r="C79" s="47">
        <v>1</v>
      </c>
      <c r="D79" s="46">
        <v>48.75</v>
      </c>
      <c r="E79" s="46">
        <v>385.61</v>
      </c>
      <c r="F79" s="46">
        <v>421.62</v>
      </c>
      <c r="G79" s="46">
        <v>325.22000000000003</v>
      </c>
      <c r="H79" s="46">
        <v>286.66000000000003</v>
      </c>
      <c r="I79" s="46">
        <v>259.66000000000003</v>
      </c>
      <c r="J79" s="46">
        <v>228.81</v>
      </c>
      <c r="K79" s="73">
        <v>385.61</v>
      </c>
    </row>
    <row r="80" spans="1:11" ht="10.5" customHeight="1" x14ac:dyDescent="0.25">
      <c r="A80" s="175" t="s">
        <v>143</v>
      </c>
      <c r="B80" s="176"/>
      <c r="C80" s="176"/>
      <c r="D80" s="176"/>
      <c r="E80" s="176"/>
      <c r="F80" s="176"/>
      <c r="G80" s="176"/>
      <c r="H80" s="176"/>
      <c r="I80" s="176"/>
      <c r="J80" s="177"/>
      <c r="K80" s="40"/>
    </row>
    <row r="81" spans="1:11" ht="10.4" customHeight="1" x14ac:dyDescent="0.25">
      <c r="A81" s="51" t="s">
        <v>144</v>
      </c>
      <c r="B81" s="48" t="s">
        <v>145</v>
      </c>
      <c r="C81" s="47">
        <v>1</v>
      </c>
      <c r="D81" s="46">
        <v>9.5</v>
      </c>
      <c r="E81" s="46">
        <v>75.58</v>
      </c>
      <c r="F81" s="46">
        <v>82.64</v>
      </c>
      <c r="G81" s="46">
        <v>63.74</v>
      </c>
      <c r="H81" s="46">
        <v>56.19</v>
      </c>
      <c r="I81" s="46">
        <v>50.9</v>
      </c>
      <c r="J81" s="46">
        <v>44.85</v>
      </c>
      <c r="K81" s="73">
        <v>75.58</v>
      </c>
    </row>
    <row r="82" spans="1:11" ht="10.4" customHeight="1" x14ac:dyDescent="0.25">
      <c r="A82" s="51" t="s">
        <v>146</v>
      </c>
      <c r="B82" s="48" t="s">
        <v>147</v>
      </c>
      <c r="C82" s="47">
        <v>1</v>
      </c>
      <c r="D82" s="46">
        <v>37.65</v>
      </c>
      <c r="E82" s="46">
        <v>297.79000000000002</v>
      </c>
      <c r="F82" s="46">
        <v>325.60000000000002</v>
      </c>
      <c r="G82" s="46">
        <v>251.15</v>
      </c>
      <c r="H82" s="46">
        <v>221.37</v>
      </c>
      <c r="I82" s="46">
        <v>200.53</v>
      </c>
      <c r="J82" s="46">
        <v>176.7</v>
      </c>
      <c r="K82" s="73">
        <v>297.79000000000002</v>
      </c>
    </row>
    <row r="83" spans="1:11" x14ac:dyDescent="0.25">
      <c r="A83" s="175" t="s">
        <v>248</v>
      </c>
      <c r="B83" s="176"/>
      <c r="C83" s="176"/>
      <c r="D83" s="176"/>
      <c r="E83" s="176"/>
      <c r="F83" s="176"/>
      <c r="G83" s="176"/>
      <c r="H83" s="176"/>
      <c r="I83" s="176"/>
      <c r="J83" s="177"/>
      <c r="K83" s="40"/>
    </row>
    <row r="84" spans="1:11" ht="10.4" customHeight="1" x14ac:dyDescent="0.25">
      <c r="A84" s="51" t="s">
        <v>241</v>
      </c>
      <c r="B84" s="48" t="s">
        <v>242</v>
      </c>
      <c r="C84" s="47">
        <v>1</v>
      </c>
      <c r="D84" s="46">
        <v>22.3</v>
      </c>
      <c r="E84" s="46">
        <v>180.17</v>
      </c>
      <c r="F84" s="46">
        <v>196.99</v>
      </c>
      <c r="G84" s="46">
        <v>151.94999999999999</v>
      </c>
      <c r="H84" s="46">
        <v>133.93</v>
      </c>
      <c r="I84" s="46">
        <v>121.32</v>
      </c>
      <c r="J84" s="46">
        <v>106.9</v>
      </c>
      <c r="K84" s="73">
        <v>180.17</v>
      </c>
    </row>
    <row r="85" spans="1:11" ht="10.5" customHeight="1" x14ac:dyDescent="0.25">
      <c r="A85" s="175" t="s">
        <v>148</v>
      </c>
      <c r="B85" s="176"/>
      <c r="C85" s="176"/>
      <c r="D85" s="176"/>
      <c r="E85" s="176"/>
      <c r="F85" s="176"/>
      <c r="G85" s="176"/>
      <c r="H85" s="176"/>
      <c r="I85" s="176"/>
      <c r="J85" s="177"/>
      <c r="K85" s="40"/>
    </row>
    <row r="86" spans="1:11" x14ac:dyDescent="0.25">
      <c r="A86" s="51" t="s">
        <v>149</v>
      </c>
      <c r="B86" s="48" t="s">
        <v>150</v>
      </c>
      <c r="C86" s="47">
        <v>1</v>
      </c>
      <c r="D86" s="46">
        <v>10.25</v>
      </c>
      <c r="E86" s="46">
        <v>80.78</v>
      </c>
      <c r="F86" s="46">
        <v>88.32</v>
      </c>
      <c r="G86" s="46">
        <v>68.12</v>
      </c>
      <c r="H86" s="46">
        <v>60.05</v>
      </c>
      <c r="I86" s="46">
        <v>54.39</v>
      </c>
      <c r="J86" s="46">
        <v>47.93</v>
      </c>
      <c r="K86" s="73">
        <v>80.78</v>
      </c>
    </row>
    <row r="87" spans="1:11" x14ac:dyDescent="0.25">
      <c r="A87" s="51" t="s">
        <v>151</v>
      </c>
      <c r="B87" s="48" t="s">
        <v>152</v>
      </c>
      <c r="C87" s="47">
        <v>1</v>
      </c>
      <c r="D87" s="46">
        <v>20.5</v>
      </c>
      <c r="E87" s="46">
        <v>152.1</v>
      </c>
      <c r="F87" s="46">
        <v>166.3</v>
      </c>
      <c r="G87" s="46">
        <v>128.27000000000001</v>
      </c>
      <c r="H87" s="46">
        <v>113.06</v>
      </c>
      <c r="I87" s="46">
        <v>102.42</v>
      </c>
      <c r="J87" s="46">
        <v>90.25</v>
      </c>
      <c r="K87" s="73">
        <v>152.1</v>
      </c>
    </row>
    <row r="88" spans="1:11" x14ac:dyDescent="0.25">
      <c r="A88" s="54" t="s">
        <v>153</v>
      </c>
      <c r="B88" s="48" t="s">
        <v>154</v>
      </c>
      <c r="C88" s="47">
        <v>1</v>
      </c>
      <c r="D88" s="46">
        <v>43.55</v>
      </c>
      <c r="E88" s="46">
        <v>340.27</v>
      </c>
      <c r="F88" s="46">
        <v>372.04</v>
      </c>
      <c r="G88" s="46">
        <v>286.97000000000003</v>
      </c>
      <c r="H88" s="46">
        <v>252.95</v>
      </c>
      <c r="I88" s="46">
        <v>229.13</v>
      </c>
      <c r="J88" s="46">
        <v>201.9</v>
      </c>
      <c r="K88" s="73">
        <v>340.27</v>
      </c>
    </row>
    <row r="89" spans="1:11" ht="10.5" customHeight="1" x14ac:dyDescent="0.25">
      <c r="A89" s="175" t="s">
        <v>155</v>
      </c>
      <c r="B89" s="176"/>
      <c r="C89" s="176"/>
      <c r="D89" s="176"/>
      <c r="E89" s="176"/>
      <c r="F89" s="176"/>
      <c r="G89" s="176"/>
      <c r="H89" s="176"/>
      <c r="I89" s="176"/>
      <c r="J89" s="177"/>
      <c r="K89" s="40"/>
    </row>
    <row r="90" spans="1:11" x14ac:dyDescent="0.25">
      <c r="A90" s="51" t="s">
        <v>156</v>
      </c>
      <c r="B90" s="48" t="s">
        <v>157</v>
      </c>
      <c r="C90" s="47">
        <v>1</v>
      </c>
      <c r="D90" s="46">
        <v>30.55</v>
      </c>
      <c r="E90" s="46">
        <v>227.95</v>
      </c>
      <c r="F90" s="46">
        <v>249.24</v>
      </c>
      <c r="G90" s="46">
        <v>192.25</v>
      </c>
      <c r="H90" s="46">
        <v>169.46</v>
      </c>
      <c r="I90" s="46">
        <v>153.5</v>
      </c>
      <c r="J90" s="46">
        <v>135.26</v>
      </c>
      <c r="K90" s="73">
        <v>227.95</v>
      </c>
    </row>
    <row r="91" spans="1:11" ht="10.5" customHeight="1" x14ac:dyDescent="0.25">
      <c r="A91" s="184" t="s">
        <v>158</v>
      </c>
      <c r="B91" s="185"/>
      <c r="C91" s="185"/>
      <c r="D91" s="185"/>
      <c r="E91" s="185"/>
      <c r="F91" s="185"/>
      <c r="G91" s="185"/>
      <c r="H91" s="185"/>
      <c r="I91" s="185"/>
      <c r="J91" s="186"/>
      <c r="K91" s="40"/>
    </row>
    <row r="92" spans="1:11" ht="10.5" customHeight="1" x14ac:dyDescent="0.25">
      <c r="A92" s="175" t="s">
        <v>159</v>
      </c>
      <c r="B92" s="176"/>
      <c r="C92" s="176"/>
      <c r="D92" s="176"/>
      <c r="E92" s="176"/>
      <c r="F92" s="176"/>
      <c r="G92" s="176"/>
      <c r="H92" s="176"/>
      <c r="I92" s="176"/>
      <c r="J92" s="177"/>
      <c r="K92" s="40"/>
    </row>
    <row r="93" spans="1:11" x14ac:dyDescent="0.25">
      <c r="A93" s="51" t="s">
        <v>160</v>
      </c>
      <c r="B93" s="48" t="s">
        <v>161</v>
      </c>
      <c r="C93" s="47">
        <v>1</v>
      </c>
      <c r="D93" s="46">
        <v>16.75</v>
      </c>
      <c r="E93" s="46">
        <v>117.41</v>
      </c>
      <c r="F93" s="46">
        <v>128.37</v>
      </c>
      <c r="G93" s="46">
        <v>99.02</v>
      </c>
      <c r="H93" s="46">
        <v>87.28</v>
      </c>
      <c r="I93" s="46">
        <v>79.06</v>
      </c>
      <c r="J93" s="46">
        <v>69.66</v>
      </c>
      <c r="K93" s="73">
        <v>117.41</v>
      </c>
    </row>
    <row r="94" spans="1:11" x14ac:dyDescent="0.25">
      <c r="A94" s="51" t="s">
        <v>162</v>
      </c>
      <c r="B94" s="48" t="s">
        <v>163</v>
      </c>
      <c r="C94" s="47">
        <v>1</v>
      </c>
      <c r="D94" s="46">
        <v>16.75</v>
      </c>
      <c r="E94" s="46">
        <v>117.41</v>
      </c>
      <c r="F94" s="46">
        <v>128.37</v>
      </c>
      <c r="G94" s="46">
        <v>99.02</v>
      </c>
      <c r="H94" s="46">
        <v>87.28</v>
      </c>
      <c r="I94" s="46">
        <v>79.06</v>
      </c>
      <c r="J94" s="46">
        <v>69.66</v>
      </c>
      <c r="K94" s="73">
        <v>117.41</v>
      </c>
    </row>
    <row r="95" spans="1:11" x14ac:dyDescent="0.25">
      <c r="A95" s="51" t="s">
        <v>164</v>
      </c>
      <c r="B95" s="48" t="s">
        <v>165</v>
      </c>
      <c r="C95" s="47">
        <v>1</v>
      </c>
      <c r="D95" s="46">
        <v>12.7</v>
      </c>
      <c r="E95" s="46">
        <v>92.09</v>
      </c>
      <c r="F95" s="46">
        <v>100.69</v>
      </c>
      <c r="G95" s="46">
        <v>77.67</v>
      </c>
      <c r="H95" s="46">
        <v>68.459999999999994</v>
      </c>
      <c r="I95" s="46">
        <v>62.01</v>
      </c>
      <c r="J95" s="46">
        <v>54.64</v>
      </c>
      <c r="K95" s="73">
        <v>92.09</v>
      </c>
    </row>
    <row r="96" spans="1:11" x14ac:dyDescent="0.25">
      <c r="A96" s="51" t="s">
        <v>168</v>
      </c>
      <c r="B96" s="48" t="s">
        <v>169</v>
      </c>
      <c r="C96" s="47">
        <v>1</v>
      </c>
      <c r="D96" s="46">
        <v>37.700000000000003</v>
      </c>
      <c r="E96" s="46">
        <v>272.83999999999997</v>
      </c>
      <c r="F96" s="46">
        <v>298.32</v>
      </c>
      <c r="G96" s="46">
        <v>230.11</v>
      </c>
      <c r="H96" s="46">
        <v>202.83</v>
      </c>
      <c r="I96" s="46">
        <v>183.73</v>
      </c>
      <c r="J96" s="46">
        <v>161.9</v>
      </c>
      <c r="K96" s="73">
        <v>272.83999999999997</v>
      </c>
    </row>
    <row r="97" spans="1:11" x14ac:dyDescent="0.25">
      <c r="A97" s="51" t="s">
        <v>170</v>
      </c>
      <c r="B97" s="48" t="s">
        <v>279</v>
      </c>
      <c r="C97" s="47">
        <v>1</v>
      </c>
      <c r="D97" s="46">
        <v>28.4</v>
      </c>
      <c r="E97" s="46">
        <v>205.42</v>
      </c>
      <c r="F97" s="46">
        <v>224.6</v>
      </c>
      <c r="G97" s="46">
        <v>173.24</v>
      </c>
      <c r="H97" s="46">
        <v>152.69999999999999</v>
      </c>
      <c r="I97" s="46">
        <v>138.32</v>
      </c>
      <c r="J97" s="46">
        <v>121.89</v>
      </c>
      <c r="K97" s="73">
        <v>205.42</v>
      </c>
    </row>
    <row r="98" spans="1:11" x14ac:dyDescent="0.25">
      <c r="A98" s="51" t="s">
        <v>173</v>
      </c>
      <c r="B98" s="48" t="s">
        <v>174</v>
      </c>
      <c r="C98" s="47">
        <v>1</v>
      </c>
      <c r="D98" s="46">
        <v>26.35</v>
      </c>
      <c r="E98" s="46">
        <v>190.68</v>
      </c>
      <c r="F98" s="46">
        <v>208.48</v>
      </c>
      <c r="G98" s="46">
        <v>160.81</v>
      </c>
      <c r="H98" s="46">
        <v>141.74</v>
      </c>
      <c r="I98" s="46">
        <v>128.38999999999999</v>
      </c>
      <c r="J98" s="46">
        <v>113.14</v>
      </c>
      <c r="K98" s="73">
        <v>190.68</v>
      </c>
    </row>
    <row r="99" spans="1:11" x14ac:dyDescent="0.25">
      <c r="A99" s="51" t="s">
        <v>175</v>
      </c>
      <c r="B99" s="48" t="s">
        <v>176</v>
      </c>
      <c r="C99" s="47">
        <v>1</v>
      </c>
      <c r="D99" s="46">
        <v>26.35</v>
      </c>
      <c r="E99" s="46">
        <v>190.68</v>
      </c>
      <c r="F99" s="46">
        <v>208.48</v>
      </c>
      <c r="G99" s="46">
        <v>160.81</v>
      </c>
      <c r="H99" s="46">
        <v>141.74</v>
      </c>
      <c r="I99" s="46">
        <v>128.38999999999999</v>
      </c>
      <c r="J99" s="46">
        <v>113.14</v>
      </c>
      <c r="K99" s="73">
        <v>190.68</v>
      </c>
    </row>
    <row r="100" spans="1:11" x14ac:dyDescent="0.25">
      <c r="A100" s="51" t="s">
        <v>177</v>
      </c>
      <c r="B100" s="48" t="s">
        <v>178</v>
      </c>
      <c r="C100" s="47">
        <v>1</v>
      </c>
      <c r="D100" s="46">
        <v>14.2</v>
      </c>
      <c r="E100" s="46">
        <v>103.04</v>
      </c>
      <c r="F100" s="46">
        <v>112.66</v>
      </c>
      <c r="G100" s="46">
        <v>86.9</v>
      </c>
      <c r="H100" s="46">
        <v>76.599999999999994</v>
      </c>
      <c r="I100" s="46">
        <v>69.38</v>
      </c>
      <c r="J100" s="46">
        <v>61.14</v>
      </c>
      <c r="K100" s="73">
        <v>103.04</v>
      </c>
    </row>
    <row r="101" spans="1:11" x14ac:dyDescent="0.25">
      <c r="A101" s="51" t="s">
        <v>179</v>
      </c>
      <c r="B101" s="48" t="s">
        <v>180</v>
      </c>
      <c r="C101" s="47">
        <v>1</v>
      </c>
      <c r="D101" s="46">
        <v>28.4</v>
      </c>
      <c r="E101" s="46">
        <v>205.42</v>
      </c>
      <c r="F101" s="46">
        <v>224.6</v>
      </c>
      <c r="G101" s="46">
        <v>173.24</v>
      </c>
      <c r="H101" s="46">
        <v>152.69999999999999</v>
      </c>
      <c r="I101" s="46">
        <v>138.32</v>
      </c>
      <c r="J101" s="46">
        <v>121.89</v>
      </c>
      <c r="K101" s="73">
        <v>205.42</v>
      </c>
    </row>
    <row r="102" spans="1:11" x14ac:dyDescent="0.25">
      <c r="A102" s="51" t="s">
        <v>166</v>
      </c>
      <c r="B102" s="48" t="s">
        <v>167</v>
      </c>
      <c r="C102" s="47">
        <v>1</v>
      </c>
      <c r="D102" s="46">
        <v>32.299999999999997</v>
      </c>
      <c r="E102" s="46">
        <v>235.01</v>
      </c>
      <c r="F102" s="46">
        <v>256.95</v>
      </c>
      <c r="G102" s="46">
        <v>198.2</v>
      </c>
      <c r="H102" s="46">
        <v>174.7</v>
      </c>
      <c r="I102" s="46">
        <v>158.25</v>
      </c>
      <c r="J102" s="46">
        <v>139.44</v>
      </c>
      <c r="K102" s="73">
        <v>235.01</v>
      </c>
    </row>
    <row r="103" spans="1:11" x14ac:dyDescent="0.25">
      <c r="A103" s="51" t="s">
        <v>171</v>
      </c>
      <c r="B103" s="48" t="s">
        <v>172</v>
      </c>
      <c r="C103" s="47">
        <v>1</v>
      </c>
      <c r="D103" s="46">
        <v>28.4</v>
      </c>
      <c r="E103" s="46">
        <v>205.42</v>
      </c>
      <c r="F103" s="46">
        <v>224.6</v>
      </c>
      <c r="G103" s="46">
        <v>173.24</v>
      </c>
      <c r="H103" s="46">
        <v>152.69999999999999</v>
      </c>
      <c r="I103" s="46">
        <v>138.32</v>
      </c>
      <c r="J103" s="46">
        <v>121.89</v>
      </c>
      <c r="K103" s="73">
        <v>205.42</v>
      </c>
    </row>
    <row r="104" spans="1:11" x14ac:dyDescent="0.25">
      <c r="A104" s="51" t="s">
        <v>181</v>
      </c>
      <c r="B104" s="48" t="s">
        <v>183</v>
      </c>
      <c r="C104" s="47">
        <v>1</v>
      </c>
      <c r="D104" s="46">
        <v>86.25</v>
      </c>
      <c r="E104" s="46">
        <v>620.34</v>
      </c>
      <c r="F104" s="46">
        <v>678.26</v>
      </c>
      <c r="G104" s="46">
        <v>523.16999999999996</v>
      </c>
      <c r="H104" s="46">
        <v>461.14</v>
      </c>
      <c r="I104" s="46">
        <v>417.72</v>
      </c>
      <c r="J104" s="46">
        <v>368.09</v>
      </c>
      <c r="K104" s="73">
        <v>620.34</v>
      </c>
    </row>
    <row r="105" spans="1:11" x14ac:dyDescent="0.25">
      <c r="A105" s="51" t="s">
        <v>182</v>
      </c>
      <c r="B105" s="48" t="s">
        <v>183</v>
      </c>
      <c r="C105" s="47">
        <v>1</v>
      </c>
      <c r="D105" s="46">
        <v>86.25</v>
      </c>
      <c r="E105" s="46">
        <v>620.34</v>
      </c>
      <c r="F105" s="46">
        <v>678.26</v>
      </c>
      <c r="G105" s="46">
        <v>523.16999999999996</v>
      </c>
      <c r="H105" s="46">
        <v>461.14</v>
      </c>
      <c r="I105" s="46">
        <v>417.72</v>
      </c>
      <c r="J105" s="46">
        <v>368.09</v>
      </c>
      <c r="K105" s="73">
        <v>620.34</v>
      </c>
    </row>
    <row r="106" spans="1:11" ht="10.5" customHeight="1" x14ac:dyDescent="0.25">
      <c r="A106" s="175" t="s">
        <v>184</v>
      </c>
      <c r="B106" s="176"/>
      <c r="C106" s="176"/>
      <c r="D106" s="176"/>
      <c r="E106" s="176"/>
      <c r="F106" s="176"/>
      <c r="G106" s="176"/>
      <c r="H106" s="176"/>
      <c r="I106" s="176"/>
      <c r="J106" s="177"/>
      <c r="K106" s="40"/>
    </row>
    <row r="107" spans="1:11" x14ac:dyDescent="0.25">
      <c r="A107" s="51" t="s">
        <v>185</v>
      </c>
      <c r="B107" s="48" t="s">
        <v>186</v>
      </c>
      <c r="C107" s="47" t="s">
        <v>187</v>
      </c>
      <c r="D107" s="46">
        <v>9.5</v>
      </c>
      <c r="E107" s="46">
        <v>71.08</v>
      </c>
      <c r="F107" s="46">
        <v>80.709999999999994</v>
      </c>
      <c r="G107" s="46">
        <v>62.94</v>
      </c>
      <c r="H107" s="46">
        <v>55.83</v>
      </c>
      <c r="I107" s="46">
        <v>50.86</v>
      </c>
      <c r="J107" s="46">
        <v>45.17</v>
      </c>
      <c r="K107" s="73">
        <v>71.08</v>
      </c>
    </row>
    <row r="108" spans="1:11" ht="10.5" customHeight="1" x14ac:dyDescent="0.25">
      <c r="A108" s="175" t="s">
        <v>188</v>
      </c>
      <c r="B108" s="176"/>
      <c r="C108" s="176"/>
      <c r="D108" s="176"/>
      <c r="E108" s="176"/>
      <c r="F108" s="176"/>
      <c r="G108" s="176"/>
      <c r="H108" s="176"/>
      <c r="I108" s="176"/>
      <c r="J108" s="177"/>
      <c r="K108" s="40"/>
    </row>
    <row r="109" spans="1:11" x14ac:dyDescent="0.25">
      <c r="A109" s="51" t="s">
        <v>189</v>
      </c>
      <c r="B109" s="48" t="s">
        <v>190</v>
      </c>
      <c r="C109" s="47">
        <v>1</v>
      </c>
      <c r="D109" s="46">
        <v>8.3000000000000007</v>
      </c>
      <c r="E109" s="46">
        <v>48.5</v>
      </c>
      <c r="F109" s="46">
        <v>53.03</v>
      </c>
      <c r="G109" s="46">
        <v>40.9</v>
      </c>
      <c r="H109" s="46">
        <v>36.049999999999997</v>
      </c>
      <c r="I109" s="46">
        <v>32.659999999999997</v>
      </c>
      <c r="J109" s="46">
        <v>28.78</v>
      </c>
      <c r="K109" s="73">
        <v>48.5</v>
      </c>
    </row>
    <row r="110" spans="1:11" x14ac:dyDescent="0.25">
      <c r="A110" s="51" t="s">
        <v>191</v>
      </c>
      <c r="B110" s="48" t="s">
        <v>192</v>
      </c>
      <c r="C110" s="47">
        <v>1</v>
      </c>
      <c r="D110" s="46">
        <v>8.3000000000000007</v>
      </c>
      <c r="E110" s="46">
        <v>48.5</v>
      </c>
      <c r="F110" s="46">
        <v>53.03</v>
      </c>
      <c r="G110" s="46">
        <v>40.9</v>
      </c>
      <c r="H110" s="46">
        <v>36.049999999999997</v>
      </c>
      <c r="I110" s="46">
        <v>32.659999999999997</v>
      </c>
      <c r="J110" s="46">
        <v>28.78</v>
      </c>
      <c r="K110" s="73">
        <v>48.5</v>
      </c>
    </row>
    <row r="111" spans="1:11" x14ac:dyDescent="0.25">
      <c r="A111" s="51" t="s">
        <v>193</v>
      </c>
      <c r="B111" s="48" t="s">
        <v>194</v>
      </c>
      <c r="C111" s="47">
        <v>1</v>
      </c>
      <c r="D111" s="46">
        <v>8.3000000000000007</v>
      </c>
      <c r="E111" s="46">
        <v>48.5</v>
      </c>
      <c r="F111" s="46">
        <v>53.03</v>
      </c>
      <c r="G111" s="46">
        <v>40.9</v>
      </c>
      <c r="H111" s="46">
        <v>36.049999999999997</v>
      </c>
      <c r="I111" s="46">
        <v>32.659999999999997</v>
      </c>
      <c r="J111" s="46">
        <v>28.78</v>
      </c>
      <c r="K111" s="73">
        <v>48.5</v>
      </c>
    </row>
    <row r="112" spans="1:11" ht="10.5" customHeight="1" x14ac:dyDescent="0.25">
      <c r="A112" s="175" t="s">
        <v>195</v>
      </c>
      <c r="B112" s="176"/>
      <c r="C112" s="176"/>
      <c r="D112" s="176"/>
      <c r="E112" s="176"/>
      <c r="F112" s="176"/>
      <c r="G112" s="176"/>
      <c r="H112" s="176"/>
      <c r="I112" s="176"/>
      <c r="J112" s="177"/>
      <c r="K112" s="40"/>
    </row>
    <row r="113" spans="1:11" x14ac:dyDescent="0.25">
      <c r="A113" s="51" t="s">
        <v>196</v>
      </c>
      <c r="B113" s="48" t="s">
        <v>197</v>
      </c>
      <c r="C113" s="47">
        <v>1</v>
      </c>
      <c r="D113" s="46">
        <v>8.3000000000000007</v>
      </c>
      <c r="E113" s="46">
        <v>48.5</v>
      </c>
      <c r="F113" s="46">
        <v>53.03</v>
      </c>
      <c r="G113" s="46">
        <v>40.9</v>
      </c>
      <c r="H113" s="46">
        <v>36.049999999999997</v>
      </c>
      <c r="I113" s="46">
        <v>32.659999999999997</v>
      </c>
      <c r="J113" s="46">
        <v>28.78</v>
      </c>
      <c r="K113" s="73">
        <v>48.5</v>
      </c>
    </row>
    <row r="114" spans="1:11" x14ac:dyDescent="0.25">
      <c r="A114" s="51" t="s">
        <v>198</v>
      </c>
      <c r="B114" s="48" t="s">
        <v>199</v>
      </c>
      <c r="C114" s="47">
        <v>1</v>
      </c>
      <c r="D114" s="46">
        <v>8.3000000000000007</v>
      </c>
      <c r="E114" s="46">
        <v>48.5</v>
      </c>
      <c r="F114" s="46">
        <v>53.03</v>
      </c>
      <c r="G114" s="46">
        <v>40.9</v>
      </c>
      <c r="H114" s="46">
        <v>36.049999999999997</v>
      </c>
      <c r="I114" s="46">
        <v>32.659999999999997</v>
      </c>
      <c r="J114" s="46">
        <v>28.78</v>
      </c>
      <c r="K114" s="73">
        <v>48.5</v>
      </c>
    </row>
    <row r="115" spans="1:11" ht="10.5" customHeight="1" x14ac:dyDescent="0.25">
      <c r="A115" s="184" t="s">
        <v>200</v>
      </c>
      <c r="B115" s="185"/>
      <c r="C115" s="185"/>
      <c r="D115" s="185"/>
      <c r="E115" s="185"/>
      <c r="F115" s="185"/>
      <c r="G115" s="185"/>
      <c r="H115" s="185"/>
      <c r="I115" s="185"/>
      <c r="J115" s="186"/>
      <c r="K115" s="40"/>
    </row>
    <row r="116" spans="1:11" ht="11.25" customHeight="1" x14ac:dyDescent="0.25">
      <c r="A116" s="198" t="s">
        <v>201</v>
      </c>
      <c r="B116" s="199"/>
      <c r="C116" s="199"/>
      <c r="D116" s="199"/>
      <c r="E116" s="199"/>
      <c r="F116" s="199"/>
      <c r="G116" s="199"/>
      <c r="H116" s="199"/>
      <c r="I116" s="199"/>
      <c r="J116" s="200"/>
      <c r="K116" s="40"/>
    </row>
    <row r="117" spans="1:11" x14ac:dyDescent="0.25">
      <c r="A117" s="62" t="s">
        <v>202</v>
      </c>
      <c r="B117" s="63" t="s">
        <v>203</v>
      </c>
      <c r="C117" s="64">
        <v>1</v>
      </c>
      <c r="D117" s="65">
        <v>0.1</v>
      </c>
      <c r="E117" s="65">
        <v>3.6</v>
      </c>
      <c r="F117" s="65">
        <v>3.9</v>
      </c>
      <c r="G117" s="189" t="s">
        <v>204</v>
      </c>
      <c r="H117" s="190"/>
      <c r="I117" s="190"/>
      <c r="J117" s="191"/>
      <c r="K117" s="40"/>
    </row>
    <row r="118" spans="1:11" x14ac:dyDescent="0.25">
      <c r="A118" s="51" t="s">
        <v>205</v>
      </c>
      <c r="B118" s="48" t="s">
        <v>206</v>
      </c>
      <c r="C118" s="47">
        <v>10</v>
      </c>
      <c r="D118" s="46">
        <v>1.2</v>
      </c>
      <c r="E118" s="46">
        <v>33.6</v>
      </c>
      <c r="F118" s="46">
        <v>36.700000000000003</v>
      </c>
      <c r="G118" s="192"/>
      <c r="H118" s="193"/>
      <c r="I118" s="193"/>
      <c r="J118" s="194"/>
      <c r="K118" s="40"/>
    </row>
    <row r="119" spans="1:11" x14ac:dyDescent="0.25">
      <c r="A119" s="51" t="s">
        <v>207</v>
      </c>
      <c r="B119" s="48" t="s">
        <v>208</v>
      </c>
      <c r="C119" s="47">
        <v>1</v>
      </c>
      <c r="D119" s="46">
        <v>0.33</v>
      </c>
      <c r="E119" s="46">
        <v>11.87</v>
      </c>
      <c r="F119" s="46">
        <v>12.98</v>
      </c>
      <c r="G119" s="192"/>
      <c r="H119" s="193"/>
      <c r="I119" s="193"/>
      <c r="J119" s="194"/>
      <c r="K119" s="40"/>
    </row>
    <row r="120" spans="1:11" x14ac:dyDescent="0.25">
      <c r="A120" s="51" t="s">
        <v>209</v>
      </c>
      <c r="B120" s="48" t="s">
        <v>208</v>
      </c>
      <c r="C120" s="47">
        <v>5</v>
      </c>
      <c r="D120" s="46">
        <v>1.65</v>
      </c>
      <c r="E120" s="46">
        <v>53.79</v>
      </c>
      <c r="F120" s="46">
        <v>58.81</v>
      </c>
      <c r="G120" s="192"/>
      <c r="H120" s="193"/>
      <c r="I120" s="193"/>
      <c r="J120" s="194"/>
      <c r="K120" s="40"/>
    </row>
    <row r="121" spans="1:11" x14ac:dyDescent="0.25">
      <c r="A121" s="51" t="s">
        <v>210</v>
      </c>
      <c r="B121" s="48" t="s">
        <v>211</v>
      </c>
      <c r="C121" s="47">
        <v>5</v>
      </c>
      <c r="D121" s="55"/>
      <c r="E121" s="46">
        <v>12.8</v>
      </c>
      <c r="F121" s="46">
        <v>13.99</v>
      </c>
      <c r="G121" s="192"/>
      <c r="H121" s="193"/>
      <c r="I121" s="193"/>
      <c r="J121" s="194"/>
      <c r="K121" s="40"/>
    </row>
    <row r="122" spans="1:11" x14ac:dyDescent="0.25">
      <c r="A122" s="66" t="s">
        <v>212</v>
      </c>
      <c r="B122" s="67" t="s">
        <v>213</v>
      </c>
      <c r="C122" s="47">
        <v>1</v>
      </c>
      <c r="D122" s="46">
        <v>1.25</v>
      </c>
      <c r="E122" s="46">
        <v>37.75</v>
      </c>
      <c r="F122" s="46">
        <v>41.27</v>
      </c>
      <c r="G122" s="192"/>
      <c r="H122" s="193"/>
      <c r="I122" s="193"/>
      <c r="J122" s="194"/>
      <c r="K122" s="40"/>
    </row>
    <row r="123" spans="1:11" x14ac:dyDescent="0.25">
      <c r="A123" s="66" t="s">
        <v>214</v>
      </c>
      <c r="B123" s="67" t="s">
        <v>215</v>
      </c>
      <c r="C123" s="47">
        <v>1</v>
      </c>
      <c r="D123" s="46">
        <v>1.45</v>
      </c>
      <c r="E123" s="46">
        <v>44.7</v>
      </c>
      <c r="F123" s="46">
        <v>48.87</v>
      </c>
      <c r="G123" s="192"/>
      <c r="H123" s="193"/>
      <c r="I123" s="193"/>
      <c r="J123" s="194"/>
      <c r="K123" s="45"/>
    </row>
    <row r="124" spans="1:11" ht="11.25" customHeight="1" x14ac:dyDescent="0.25">
      <c r="A124" s="175" t="s">
        <v>216</v>
      </c>
      <c r="B124" s="176"/>
      <c r="C124" s="176"/>
      <c r="D124" s="176"/>
      <c r="E124" s="176"/>
      <c r="F124" s="177"/>
      <c r="G124" s="192"/>
      <c r="H124" s="193"/>
      <c r="I124" s="193"/>
      <c r="J124" s="194"/>
      <c r="K124" s="40"/>
    </row>
    <row r="125" spans="1:11" x14ac:dyDescent="0.25">
      <c r="A125" s="51" t="s">
        <v>217</v>
      </c>
      <c r="B125" s="48" t="s">
        <v>218</v>
      </c>
      <c r="C125" s="47">
        <v>1</v>
      </c>
      <c r="D125" s="55"/>
      <c r="E125" s="56"/>
      <c r="F125" s="46">
        <v>5.5</v>
      </c>
      <c r="G125" s="192"/>
      <c r="H125" s="193"/>
      <c r="I125" s="193"/>
      <c r="J125" s="194"/>
      <c r="K125" s="45"/>
    </row>
    <row r="126" spans="1:11" ht="11.25" customHeight="1" x14ac:dyDescent="0.25">
      <c r="A126" s="184" t="s">
        <v>219</v>
      </c>
      <c r="B126" s="185"/>
      <c r="C126" s="185"/>
      <c r="D126" s="185"/>
      <c r="E126" s="185"/>
      <c r="F126" s="186"/>
      <c r="G126" s="192"/>
      <c r="H126" s="193"/>
      <c r="I126" s="193"/>
      <c r="J126" s="194"/>
      <c r="K126" s="40"/>
    </row>
    <row r="127" spans="1:11" ht="11.25" customHeight="1" x14ac:dyDescent="0.25">
      <c r="A127" s="175" t="s">
        <v>220</v>
      </c>
      <c r="B127" s="176"/>
      <c r="C127" s="176"/>
      <c r="D127" s="176"/>
      <c r="E127" s="176"/>
      <c r="F127" s="177"/>
      <c r="G127" s="192"/>
      <c r="H127" s="193"/>
      <c r="I127" s="193"/>
      <c r="J127" s="194"/>
      <c r="K127" s="40"/>
    </row>
    <row r="128" spans="1:11" x14ac:dyDescent="0.25">
      <c r="A128" s="51" t="s">
        <v>221</v>
      </c>
      <c r="B128" s="48" t="s">
        <v>222</v>
      </c>
      <c r="C128" s="47">
        <v>1</v>
      </c>
      <c r="D128" s="55"/>
      <c r="E128" s="56"/>
      <c r="F128" s="46">
        <v>175.83</v>
      </c>
      <c r="G128" s="192"/>
      <c r="H128" s="193"/>
      <c r="I128" s="193"/>
      <c r="J128" s="194"/>
      <c r="K128" s="40"/>
    </row>
    <row r="129" spans="1:11" x14ac:dyDescent="0.25">
      <c r="A129" s="51" t="s">
        <v>223</v>
      </c>
      <c r="B129" s="48" t="s">
        <v>224</v>
      </c>
      <c r="C129" s="47">
        <v>1</v>
      </c>
      <c r="D129" s="57"/>
      <c r="E129" s="58"/>
      <c r="F129" s="46">
        <v>41.37</v>
      </c>
      <c r="G129" s="192"/>
      <c r="H129" s="193"/>
      <c r="I129" s="193"/>
      <c r="J129" s="194"/>
      <c r="K129" s="40"/>
    </row>
    <row r="130" spans="1:11" ht="21" x14ac:dyDescent="0.25">
      <c r="A130" s="74" t="s">
        <v>225</v>
      </c>
      <c r="B130" s="48" t="s">
        <v>226</v>
      </c>
      <c r="C130" s="47">
        <v>1</v>
      </c>
      <c r="D130" s="57"/>
      <c r="E130" s="58"/>
      <c r="F130" s="46">
        <v>24.84</v>
      </c>
      <c r="G130" s="192"/>
      <c r="H130" s="193"/>
      <c r="I130" s="193"/>
      <c r="J130" s="194"/>
      <c r="K130" s="40"/>
    </row>
    <row r="131" spans="1:11" ht="11.25" customHeight="1" x14ac:dyDescent="0.25">
      <c r="A131" s="175" t="s">
        <v>227</v>
      </c>
      <c r="B131" s="176"/>
      <c r="C131" s="176"/>
      <c r="D131" s="176"/>
      <c r="E131" s="176"/>
      <c r="F131" s="177"/>
      <c r="G131" s="192"/>
      <c r="H131" s="193"/>
      <c r="I131" s="193"/>
      <c r="J131" s="194"/>
      <c r="K131" s="40"/>
    </row>
    <row r="132" spans="1:11" ht="11.25" customHeight="1" x14ac:dyDescent="0.25">
      <c r="A132" s="51" t="s">
        <v>228</v>
      </c>
      <c r="B132" s="48" t="s">
        <v>229</v>
      </c>
      <c r="C132" s="47">
        <v>1</v>
      </c>
      <c r="D132" s="59"/>
      <c r="E132" s="60"/>
      <c r="F132" s="46">
        <v>97.24</v>
      </c>
      <c r="G132" s="192"/>
      <c r="H132" s="193"/>
      <c r="I132" s="193"/>
      <c r="J132" s="194"/>
      <c r="K132" s="40"/>
    </row>
    <row r="133" spans="1:11" x14ac:dyDescent="0.25">
      <c r="A133" s="51" t="s">
        <v>230</v>
      </c>
      <c r="B133" s="48" t="s">
        <v>231</v>
      </c>
      <c r="C133" s="47">
        <v>1</v>
      </c>
      <c r="D133" s="59"/>
      <c r="E133" s="60"/>
      <c r="F133" s="46">
        <v>97.24</v>
      </c>
      <c r="G133" s="192"/>
      <c r="H133" s="193"/>
      <c r="I133" s="193"/>
      <c r="J133" s="194"/>
      <c r="K133" s="40"/>
    </row>
    <row r="134" spans="1:11" x14ac:dyDescent="0.25">
      <c r="A134" s="51" t="s">
        <v>232</v>
      </c>
      <c r="B134" s="48" t="s">
        <v>233</v>
      </c>
      <c r="C134" s="47">
        <v>1</v>
      </c>
      <c r="D134" s="59"/>
      <c r="E134" s="60"/>
      <c r="F134" s="46">
        <v>97.24</v>
      </c>
      <c r="G134" s="192"/>
      <c r="H134" s="193"/>
      <c r="I134" s="193"/>
      <c r="J134" s="194"/>
      <c r="K134" s="40"/>
    </row>
    <row r="135" spans="1:11" ht="11.25" customHeight="1" x14ac:dyDescent="0.25">
      <c r="A135" s="175" t="s">
        <v>234</v>
      </c>
      <c r="B135" s="176"/>
      <c r="C135" s="176"/>
      <c r="D135" s="176"/>
      <c r="E135" s="176"/>
      <c r="F135" s="177"/>
      <c r="G135" s="192"/>
      <c r="H135" s="193"/>
      <c r="I135" s="193"/>
      <c r="J135" s="194"/>
      <c r="K135" s="40"/>
    </row>
    <row r="136" spans="1:11" x14ac:dyDescent="0.25">
      <c r="A136" s="51" t="s">
        <v>235</v>
      </c>
      <c r="B136" s="48" t="s">
        <v>236</v>
      </c>
      <c r="C136" s="47">
        <v>1</v>
      </c>
      <c r="D136" s="77"/>
      <c r="E136" s="77"/>
      <c r="F136" s="46">
        <v>2.64</v>
      </c>
      <c r="G136" s="192"/>
      <c r="H136" s="193"/>
      <c r="I136" s="193"/>
      <c r="J136" s="194"/>
      <c r="K136" s="40"/>
    </row>
    <row r="137" spans="1:11" x14ac:dyDescent="0.25">
      <c r="A137" s="51" t="s">
        <v>237</v>
      </c>
      <c r="B137" s="48" t="s">
        <v>238</v>
      </c>
      <c r="C137" s="47">
        <v>1</v>
      </c>
      <c r="D137" s="77"/>
      <c r="E137" s="77"/>
      <c r="F137" s="46">
        <v>2.64</v>
      </c>
      <c r="G137" s="192"/>
      <c r="H137" s="193"/>
      <c r="I137" s="193"/>
      <c r="J137" s="194"/>
      <c r="K137" s="40"/>
    </row>
    <row r="138" spans="1:11" x14ac:dyDescent="0.25">
      <c r="A138" s="51" t="s">
        <v>239</v>
      </c>
      <c r="B138" s="48" t="s">
        <v>240</v>
      </c>
      <c r="C138" s="47">
        <v>1</v>
      </c>
      <c r="D138" s="77"/>
      <c r="E138" s="77"/>
      <c r="F138" s="46">
        <v>2.64</v>
      </c>
      <c r="G138" s="195"/>
      <c r="H138" s="196"/>
      <c r="I138" s="196"/>
      <c r="J138" s="197"/>
      <c r="K138" s="40"/>
    </row>
  </sheetData>
  <sheetProtection algorithmName="SHA-512" hashValue="Rq+vuoGlThMc6fSu5/+xWMrxjqEp/oxgwsKXuVNb0SXM8x0PFfJeg/PbErA1LfeA+Sm9pAfkzs3Q41BN8pCmNg==" saltValue="/8LO8jOv/cEiLkldGm1M+w==" spinCount="100000" sheet="1" objects="1" scenarios="1"/>
  <mergeCells count="33">
    <mergeCell ref="A1:J1"/>
    <mergeCell ref="A135:F135"/>
    <mergeCell ref="A131:F131"/>
    <mergeCell ref="A127:F127"/>
    <mergeCell ref="A126:F126"/>
    <mergeCell ref="A124:F124"/>
    <mergeCell ref="A35:J35"/>
    <mergeCell ref="A23:J23"/>
    <mergeCell ref="A27:J27"/>
    <mergeCell ref="A31:J31"/>
    <mergeCell ref="G117:J138"/>
    <mergeCell ref="A106:J106"/>
    <mergeCell ref="A108:J108"/>
    <mergeCell ref="A112:J112"/>
    <mergeCell ref="A115:J115"/>
    <mergeCell ref="A116:J116"/>
    <mergeCell ref="A80:J80"/>
    <mergeCell ref="A85:J85"/>
    <mergeCell ref="A89:J89"/>
    <mergeCell ref="A91:J91"/>
    <mergeCell ref="A92:J92"/>
    <mergeCell ref="A83:J83"/>
    <mergeCell ref="A64:J64"/>
    <mergeCell ref="A70:J70"/>
    <mergeCell ref="A76:J76"/>
    <mergeCell ref="A3:J3"/>
    <mergeCell ref="A4:J4"/>
    <mergeCell ref="A18:J18"/>
    <mergeCell ref="A19:J19"/>
    <mergeCell ref="A42:J42"/>
    <mergeCell ref="A43:J43"/>
    <mergeCell ref="A50:J50"/>
    <mergeCell ref="A57:J57"/>
  </mergeCells>
  <phoneticPr fontId="17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1455fd4-53cf-474c-a0fc-1a343e9c73c7" xsi:nil="true"/>
    <_ip_UnifiedCompliancePolicyProperties xmlns="http://schemas.microsoft.com/sharepoint/v3" xsi:nil="true"/>
    <lcf76f155ced4ddcb4097134ff3c332f xmlns="1c8f7bbe-f185-460f-a525-414957e69d3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CF6B6FD795654B9B3665DE8CCFDAC3" ma:contentTypeVersion="20" ma:contentTypeDescription="Create a new document." ma:contentTypeScope="" ma:versionID="d572ee047165aa487cf8c2e3cacb49f0">
  <xsd:schema xmlns:xsd="http://www.w3.org/2001/XMLSchema" xmlns:xs="http://www.w3.org/2001/XMLSchema" xmlns:p="http://schemas.microsoft.com/office/2006/metadata/properties" xmlns:ns1="http://schemas.microsoft.com/sharepoint/v3" xmlns:ns2="1c8f7bbe-f185-460f-a525-414957e69d36" xmlns:ns3="f3d24b8d-11ea-4a11-9abc-e66f54084900" xmlns:ns4="91455fd4-53cf-474c-a0fc-1a343e9c73c7" targetNamespace="http://schemas.microsoft.com/office/2006/metadata/properties" ma:root="true" ma:fieldsID="27323f4454360573a52b7f21263a3931" ns1:_="" ns2:_="" ns3:_="" ns4:_="">
    <xsd:import namespace="http://schemas.microsoft.com/sharepoint/v3"/>
    <xsd:import namespace="1c8f7bbe-f185-460f-a525-414957e69d36"/>
    <xsd:import namespace="f3d24b8d-11ea-4a11-9abc-e66f54084900"/>
    <xsd:import namespace="91455fd4-53cf-474c-a0fc-1a343e9c7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8f7bbe-f185-460f-a525-414957e69d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bdd64b6-0216-4bad-bff0-c6d7c1996e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24b8d-11ea-4a11-9abc-e66f54084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55fd4-53cf-474c-a0fc-1a343e9c73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844e38dd-47b5-4000-b594-445ebc1cf76f}" ma:internalName="TaxCatchAll" ma:showField="CatchAllData" ma:web="f3d24b8d-11ea-4a11-9abc-e66f54084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A0E5B3-3E21-4E54-89C1-11D54F5E94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B96416-1E68-4B2F-8724-71FD6A1CA4D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1455fd4-53cf-474c-a0fc-1a343e9c73c7"/>
    <ds:schemaRef ds:uri="1c8f7bbe-f185-460f-a525-414957e69d36"/>
  </ds:schemaRefs>
</ds:datastoreItem>
</file>

<file path=customXml/itemProps3.xml><?xml version="1.0" encoding="utf-8"?>
<ds:datastoreItem xmlns:ds="http://schemas.openxmlformats.org/officeDocument/2006/customXml" ds:itemID="{A97328E6-E258-4E13-B8CC-D6F415727B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8f7bbe-f185-460f-a525-414957e69d36"/>
    <ds:schemaRef ds:uri="f3d24b8d-11ea-4a11-9abc-e66f54084900"/>
    <ds:schemaRef ds:uri="91455fd4-53cf-474c-a0fc-1a343e9c73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01f87a7-6d6b-4c6c-9d9c-223592a2ba50}" enabled="0" method="" siteId="{101f87a7-6d6b-4c6c-9d9c-223592a2ba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Order Form</vt:lpstr>
      <vt:lpstr>Price List</vt:lpstr>
      <vt:lpstr>'Order Form'!Print_Area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Joey Hon</dc:creator>
  <cp:keywords/>
  <dc:description/>
  <cp:lastModifiedBy>Nurul Huda Saifuldeen</cp:lastModifiedBy>
  <cp:revision/>
  <dcterms:created xsi:type="dcterms:W3CDTF">2013-11-08T09:04:09Z</dcterms:created>
  <dcterms:modified xsi:type="dcterms:W3CDTF">2026-06-04T05:31:12Z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0x0101009DCF6B6FD795654B9B3665DE8CCFDAC3</vt:lpwstr>
  </property>
  <property fmtid="{D5CDD505-2E9C-101B-9397-08002B2CF9AE}" pid="3" name="Order">
    <vt:r8>1892000</vt:r8>
  </property>
</Properties>
</file>